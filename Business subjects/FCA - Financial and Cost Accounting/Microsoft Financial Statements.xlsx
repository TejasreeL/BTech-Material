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3040" windowHeight="9264" tabRatio="805"/>
  </bookViews>
  <sheets>
    <sheet name="ComparativeBalance Sheets" sheetId="3" r:id="rId1"/>
    <sheet name="Common size " sheetId="18" r:id="rId2"/>
    <sheet name="Splash" sheetId="1" r:id="rId3"/>
    <sheet name="Income Statements" sheetId="2" r:id="rId4"/>
    <sheet name="Comprehensive Income" sheetId="15" r:id="rId5"/>
    <sheet name="Cash Flows" sheetId="4" r:id="rId6"/>
    <sheet name="Segment Revenue &amp; OI" sheetId="14" r:id="rId7"/>
    <sheet name="Quarterly Income Statements" sheetId="10" r:id="rId8"/>
    <sheet name="Segment History" sheetId="11" r:id="rId9"/>
    <sheet name="Unearned Revenue" sheetId="12" r:id="rId10"/>
    <sheet name="Yearly Income Statements" sheetId="13" r:id="rId11"/>
    <sheet name="Return of Cash to Shareholders" sheetId="16" r:id="rId12"/>
    <sheet name="CapEx" sheetId="17" r:id="rId13"/>
  </sheets>
  <definedNames>
    <definedName name="Balance_Sheet">'ComparativeBalance Sheets'!$A$3:$E$47</definedName>
    <definedName name="Cash_Flow">'Cash Flows'!$A$3:$H$47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5">'Cash Flows'!$A$3:$H$45</definedName>
    <definedName name="_xlnm.Print_Area" localSheetId="0">'ComparativeBalance Sheets'!$A$3:$E$45</definedName>
    <definedName name="_xlnm.Print_Area" localSheetId="4">'Comprehensive Income'!$A$3:$H$15</definedName>
    <definedName name="_xlnm.Print_Area" localSheetId="3">'Income Statements'!$A$1:$H$31</definedName>
    <definedName name="_xlnm.Print_Area" localSheetId="6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41" i="3"/>
  <c r="E41" i="3"/>
  <c r="D42" i="3"/>
  <c r="E42" i="3"/>
  <c r="D43" i="3"/>
  <c r="E43" i="3"/>
  <c r="D44" i="3"/>
  <c r="E44" i="3"/>
  <c r="D45" i="3"/>
  <c r="E45" i="3"/>
  <c r="E9" i="3"/>
  <c r="D9" i="3"/>
  <c r="F10" i="3" l="1"/>
  <c r="F9" i="3"/>
  <c r="G10" i="3" l="1"/>
  <c r="G18" i="3"/>
  <c r="G19" i="3"/>
  <c r="G20" i="3"/>
  <c r="G21" i="3"/>
  <c r="G32" i="3"/>
  <c r="G33" i="3"/>
  <c r="G34" i="3"/>
  <c r="G9" i="3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F19" i="3"/>
  <c r="F20" i="3"/>
  <c r="F21" i="3"/>
  <c r="F22" i="3"/>
  <c r="G22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F33" i="3"/>
  <c r="F34" i="3"/>
  <c r="F35" i="3"/>
  <c r="G35" i="3" s="1"/>
  <c r="F36" i="3"/>
  <c r="G36" i="3" s="1"/>
  <c r="F37" i="3"/>
  <c r="G37" i="3" s="1"/>
  <c r="F38" i="3"/>
  <c r="G38" i="3" s="1"/>
  <c r="F41" i="3"/>
  <c r="G41" i="3" s="1"/>
  <c r="F42" i="3"/>
  <c r="G42" i="3" s="1"/>
  <c r="F43" i="3"/>
  <c r="G43" i="3" s="1"/>
  <c r="F44" i="3"/>
  <c r="G44" i="3" s="1"/>
  <c r="F45" i="3"/>
  <c r="G45" i="3" s="1"/>
</calcChain>
</file>

<file path=xl/sharedStrings.xml><?xml version="1.0" encoding="utf-8"?>
<sst xmlns="http://schemas.openxmlformats.org/spreadsheetml/2006/main" count="529" uniqueCount="297">
  <si>
    <t>Microsoft Financial Data - FY23Q4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</si>
  <si>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</si>
  <si>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</si>
  <si>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</si>
  <si>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</si>
  <si>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</si>
  <si>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</si>
  <si>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</si>
  <si>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</si>
  <si>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</si>
  <si>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 Statements</t>
  </si>
  <si>
    <t>Yearly Income Statements</t>
  </si>
  <si>
    <t>Segment Revenue &amp; Operating Income</t>
  </si>
  <si>
    <t>Return of Cash to Shareholders</t>
  </si>
  <si>
    <t>Capital Expenditures</t>
  </si>
  <si>
    <t>We adopted new accounting standards related to revenue recognition and leases effective July 1, 2017. The prior periods presented here have been restated to reflect adoption of these new standards.</t>
  </si>
  <si>
    <t>MICROSOFT CORPORATION</t>
    <phoneticPr fontId="37" type="noConversion"/>
  </si>
  <si>
    <t>Back to Main</t>
  </si>
  <si>
    <t>INCOME STATEMENTS</t>
  </si>
  <si>
    <t>(In millions, except per share amounts) (Unaudited)</t>
  </si>
  <si>
    <t>Three Months Ended June 30,</t>
  </si>
  <si>
    <t>Twelve Months Ended June 30,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</si>
  <si>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</si>
  <si>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</si>
  <si>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</si>
  <si>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</si>
  <si>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</si>
  <si>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</si>
  <si>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</si>
  <si>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 xml:space="preserve">Research and development </t>
  </si>
  <si>
    <t>Sales and marketing</t>
  </si>
  <si>
    <t xml:space="preserve">General and administrative 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</si>
  <si>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</si>
  <si>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</si>
  <si>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</si>
  <si>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</si>
  <si>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</si>
  <si>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</si>
  <si>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</si>
  <si>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</si>
  <si>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</si>
  <si>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COMPREHENSIVE INCOME STATEMENTS</t>
  </si>
  <si>
    <t>(In millions) (Unaudited)</t>
  </si>
  <si>
    <t>Other comprehensive income (loss), net of tax:</t>
  </si>
  <si>
    <t xml:space="preserve">  Net change related to derivatives</t>
  </si>
  <si>
    <t xml:space="preserve">  Net change related to investments</t>
  </si>
  <si>
    <t xml:space="preserve">  Translation adjustments and other</t>
  </si>
  <si>
    <t xml:space="preserve">   Other comprehensive loss</t>
  </si>
  <si>
    <t>Comprehensive income</t>
  </si>
  <si>
    <t>MICROSOFT CORPORATION</t>
  </si>
  <si>
    <t>BALANCE SHEETS</t>
  </si>
  <si>
    <t>June 30, 2022</t>
  </si>
  <si>
    <t>June 30,
2023</t>
  </si>
  <si>
    <t>Assets</t>
  </si>
  <si>
    <t>Current assets: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</si>
  <si>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</si>
  <si>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</si>
  <si>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</si>
  <si>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t xml:space="preserve">   Inventories</t>
  </si>
  <si>
    <t xml:space="preserve">   Other current assets</t>
  </si>
  <si>
    <t xml:space="preserve">      Total current assets</t>
  </si>
  <si>
    <t>Operating lease right-of-use assets</t>
  </si>
  <si>
    <t>Equity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</si>
  <si>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</si>
  <si>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</si>
  <si>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</si>
  <si>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</si>
  <si>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</si>
  <si>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</si>
  <si>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</si>
  <si>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Current portion of long-term debt</t>
  </si>
  <si>
    <t xml:space="preserve">   Accrued compensation</t>
  </si>
  <si>
    <t xml:space="preserve">   Short-term income taxes</t>
  </si>
  <si>
    <t xml:space="preserve">   Short-term unearned revenue</t>
  </si>
  <si>
    <t xml:space="preserve">   Other current liabilities</t>
  </si>
  <si>
    <t xml:space="preserve">      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</si>
  <si>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</si>
  <si>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</si>
  <si>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</si>
  <si>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</si>
  <si>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</si>
  <si>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</si>
  <si>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 xml:space="preserve">         Total liabilities</t>
  </si>
  <si>
    <t>Commitments and contingencies</t>
  </si>
  <si>
    <t>Stockholders' equity:</t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</si>
  <si>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</si>
  <si>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</si>
  <si>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</si>
  <si>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</si>
  <si>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</si>
  <si>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</si>
  <si>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to 
   net cash from operations:</t>
  </si>
  <si>
    <t xml:space="preserve">   Depreciation, amortization, and other</t>
  </si>
  <si>
    <t xml:space="preserve">   Stock-based compensation expense</t>
  </si>
  <si>
    <t xml:space="preserve">   Net recognized losses (gains) on investments and derivatives</t>
  </si>
  <si>
    <t xml:space="preserve">   Deferred income taxes</t>
  </si>
  <si>
    <t xml:space="preserve">   Changes in operating assets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</si>
  <si>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</si>
  <si>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</si>
  <si>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</si>
  <si>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</si>
  <si>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</si>
  <si>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Unearned revenue</t>
  </si>
  <si>
    <t xml:space="preserve">      Income taxes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</si>
  <si>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</si>
  <si>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</si>
  <si>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</si>
  <si>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</si>
  <si>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Repayments of debt</t>
  </si>
  <si>
    <t>Common stock issued</t>
  </si>
  <si>
    <t>Common stock repurchased</t>
  </si>
  <si>
    <t>Common stock cash dividends paid</t>
  </si>
  <si>
    <t>Other, net</t>
  </si>
  <si>
    <t xml:space="preserve">         Net cash used in financing</t>
  </si>
  <si>
    <t>Investing</t>
  </si>
  <si>
    <t>Additions to property and equipment</t>
  </si>
  <si>
    <t>Acquisition of companies, net of cash acquired, and purchases 
   of intangible and other assets</t>
  </si>
  <si>
    <t>Purchases of investments</t>
  </si>
  <si>
    <t>Maturities of investments</t>
  </si>
  <si>
    <t>Sales of investments</t>
  </si>
  <si>
    <t xml:space="preserve"> 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</si>
  <si>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</si>
  <si>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</si>
  <si>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</si>
  <si>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</si>
  <si>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</si>
  <si>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Revenue</t>
  </si>
  <si>
    <t>Productivity and Business Processes</t>
  </si>
  <si>
    <t>Intelligent Cloud</t>
  </si>
  <si>
    <t>More Personal Computing</t>
  </si>
  <si>
    <t xml:space="preserve">  Total</t>
  </si>
  <si>
    <t>Operating Income</t>
  </si>
  <si>
    <t>We have recast certain prior period amounts to conform to the way we internally manage and monitor our business.</t>
  </si>
  <si>
    <t>Microsoft Corporation</t>
  </si>
  <si>
    <t>(In millions, except per share amounts)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</si>
  <si>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</si>
  <si>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</si>
  <si>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</si>
  <si>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</si>
  <si>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</si>
  <si>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</si>
  <si>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</si>
  <si>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</si>
  <si>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</si>
  <si>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</si>
  <si>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</si>
  <si>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</si>
  <si>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</si>
  <si>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</si>
  <si>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</si>
  <si>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</si>
  <si>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</si>
  <si>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</si>
  <si>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</si>
  <si>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</si>
  <si>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</si>
  <si>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</si>
  <si>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</si>
  <si>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</si>
  <si>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</si>
  <si>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</si>
  <si>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</si>
  <si>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</si>
  <si>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</si>
  <si>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</si>
  <si>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</si>
  <si>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</si>
  <si>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Impairment and restructuring</t>
  </si>
  <si>
    <t>Provision for (benefit from) income taxes</t>
  </si>
  <si>
    <t>Earnings (loss) per share:</t>
  </si>
  <si>
    <t>Segment Revenue and Operating Income</t>
  </si>
  <si>
    <t>(In millions)</t>
  </si>
  <si>
    <t>Fiscal Year 2022</t>
  </si>
  <si>
    <t>Fiscal Year 2023</t>
  </si>
  <si>
    <t>Unearned Revenue ($ in millions)</t>
  </si>
  <si>
    <t xml:space="preserve">      Total</t>
  </si>
  <si>
    <t>Unearned Revenue (in %)</t>
  </si>
  <si>
    <t>FY16</t>
  </si>
  <si>
    <t>FY17</t>
  </si>
  <si>
    <t>FY18</t>
  </si>
  <si>
    <t>FY19</t>
  </si>
  <si>
    <t>FY20</t>
  </si>
  <si>
    <t>FY21</t>
  </si>
  <si>
    <t>FY22</t>
  </si>
  <si>
    <t>FY23</t>
  </si>
  <si>
    <t>(In billions, except per share amounts)</t>
  </si>
  <si>
    <t>FY10</t>
  </si>
  <si>
    <t>FY11</t>
  </si>
  <si>
    <t>FY12</t>
  </si>
  <si>
    <t>FY13</t>
  </si>
  <si>
    <t>FY14</t>
  </si>
  <si>
    <t>FY15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</si>
  <si>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</si>
  <si>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</si>
  <si>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</si>
  <si>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</si>
  <si>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</si>
  <si>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</si>
  <si>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</si>
  <si>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</si>
  <si>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</si>
  <si>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</si>
  <si>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</si>
  <si>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</si>
  <si>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</si>
  <si>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</si>
  <si>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</si>
  <si>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</si>
  <si>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</si>
  <si>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</si>
  <si>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</si>
  <si>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</si>
  <si>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</si>
  <si>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</si>
  <si>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</si>
  <si>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</si>
  <si>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</si>
  <si>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</si>
  <si>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</si>
  <si>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</si>
  <si>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</si>
  <si>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</si>
  <si>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</si>
  <si>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</si>
  <si>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</si>
  <si>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</si>
  <si>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</si>
  <si>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</si>
  <si>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</si>
  <si>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</si>
  <si>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</si>
  <si>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</si>
  <si>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</si>
  <si>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</si>
  <si>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</si>
  <si>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</si>
  <si>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</si>
  <si>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</si>
  <si>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</si>
  <si>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Quarterly</t>
  </si>
  <si>
    <t>Microsoft Corporation </t>
  </si>
  <si>
    <t xml:space="preserve">Capital Expenditures Including Assets Acquired Under Capital Leases </t>
  </si>
  <si>
    <t>(In billions)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</si>
  <si>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</si>
  <si>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</si>
  <si>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</si>
  <si>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</si>
  <si>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</si>
  <si>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</si>
  <si>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Capital expenditures including assets acquired under capital leases</t>
  </si>
  <si>
    <t>Item</t>
  </si>
  <si>
    <t>2022 (in $M)</t>
  </si>
  <si>
    <t>2023 (in $M)</t>
  </si>
  <si>
    <t>% of Total Assets (2022)</t>
  </si>
  <si>
    <t>% of Total Assets (2023)</t>
  </si>
  <si>
    <t>Cash and Cash Equivalents</t>
  </si>
  <si>
    <t>Short-term Investments</t>
  </si>
  <si>
    <t>Total Cash, Cash Equivalents, &amp; Investments</t>
  </si>
  <si>
    <t>Accounts Receivable (Net)</t>
  </si>
  <si>
    <t>Inventories</t>
  </si>
  <si>
    <t>Other Current Assets</t>
  </si>
  <si>
    <t>Total Current Assets</t>
  </si>
  <si>
    <t>Property &amp; Equipment (Net)</t>
  </si>
  <si>
    <t>Operating Lease Right-of-Use Assets</t>
  </si>
  <si>
    <t>Equity Investments</t>
  </si>
  <si>
    <t>Intangible Assets (Net)</t>
  </si>
  <si>
    <t>Other Long-term Assets</t>
  </si>
  <si>
    <t>Total Assets</t>
  </si>
  <si>
    <t>Liabilities &amp; Stockholders' Equity</t>
  </si>
  <si>
    <t>Current Liabilities</t>
  </si>
  <si>
    <t>Accounts Payable</t>
  </si>
  <si>
    <t>Current Portion of Long-term Debt</t>
  </si>
  <si>
    <t>Accrued Compensation</t>
  </si>
  <si>
    <t>Short-term Income Taxes</t>
  </si>
  <si>
    <t>Short-term Unearned Revenue</t>
  </si>
  <si>
    <t>Other Current Liabilities</t>
  </si>
  <si>
    <t>Total Current Liabilities</t>
  </si>
  <si>
    <t>Long-Term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</si>
  <si>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</si>
  <si>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</si>
  <si>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</si>
  <si>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</si>
  <si>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</si>
  <si>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</si>
  <si>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>Total Liabilities</t>
  </si>
  <si>
    <t>Stockholders' Equity</t>
  </si>
  <si>
    <t>Common Stock &amp; Paid-in Capital</t>
  </si>
  <si>
    <t>Retained Earnings</t>
  </si>
  <si>
    <t>Accumulated Other Comprehensive Loss</t>
  </si>
  <si>
    <t>Total Stockholders' Equity</t>
  </si>
  <si>
    <t>Total Liabilities &amp; Stockholders' Equity</t>
  </si>
  <si>
    <t>Items</t>
  </si>
  <si>
    <t>Absolute Change</t>
  </si>
  <si>
    <t>Percentage Change</t>
  </si>
  <si>
    <r>
      <t xml:space="preserve">   Accounts receivable, net of allowance for doubtful
      accounts of </t>
    </r>
    <r>
      <rPr>
        <b/>
        <sz val="10"/>
        <color theme="1"/>
        <rFont val="Segoe UI"/>
        <family val="2"/>
      </rPr>
      <t>$650</t>
    </r>
    <r>
      <rPr>
        <sz val="10"/>
        <color theme="1"/>
        <rFont val="Segoe UI"/>
        <family val="2"/>
      </rPr>
      <t xml:space="preserve"> and $633</t>
    </r>
  </si>
  <si>
    <r>
      <t xml:space="preserve">Property and equipment, net of accumulated
   depreciation of </t>
    </r>
    <r>
      <rPr>
        <b/>
        <sz val="10"/>
        <color theme="1"/>
        <rFont val="Segoe UI"/>
        <family val="2"/>
      </rPr>
      <t>$68,251</t>
    </r>
    <r>
      <rPr>
        <sz val="10"/>
        <color theme="1"/>
        <rFont val="Segoe UI"/>
        <family val="2"/>
      </rPr>
      <t xml:space="preserve"> and $59,660</t>
    </r>
  </si>
  <si>
    <r>
      <t xml:space="preserve">   Common stock and paid-in capital - shares authorized 
      24,000; outstanding </t>
    </r>
    <r>
      <rPr>
        <b/>
        <sz val="10"/>
        <color theme="1"/>
        <rFont val="Segoe UI"/>
        <family val="2"/>
      </rPr>
      <t>7,432</t>
    </r>
    <r>
      <rPr>
        <sz val="10"/>
        <color theme="1"/>
        <rFont val="Segoe UI"/>
        <family val="2"/>
      </rPr>
      <t xml:space="preserve"> and 7,464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</si>
</sst>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.000000"/>
    <numFmt numFmtId="215" formatCode="_(* #,##0.0_);_(* \(#,##0.0\);_(* &quot;-&quot;??_);_(@_)"/>
    <numFmt numFmtId="216" formatCode="&quot;£&quot;#,##0;[Red]\-&quot;£&quot;#,##0"/>
    <numFmt numFmtId="217" formatCode="0.00_);[Red]\(0.00\)"/>
    <numFmt numFmtId="218" formatCode="&quot;£&quot;#,##0.00;[Red]\-&quot;£&quot;#,##0.00"/>
    <numFmt numFmtId="219" formatCode="_(* #,##0.000_);_(* \(#,##0.000\);_(* &quot;-&quot;_);_(@_)"/>
    <numFmt numFmtId="220" formatCode="_-&quot;£&quot;* #,##0_-;\-&quot;£&quot;* #,##0_-;_-&quot;£&quot;* &quot;-&quot;_-;_-@_-"/>
    <numFmt numFmtId="221" formatCode="_(&quot;$&quot;* #,##0,_);_(&quot;$&quot;* \(#,##0,\);_(&quot;$&quot;* &quot;-&quot;_);_(@_)"/>
    <numFmt numFmtId="222" formatCode="&quot;SFr.&quot;#,##0;[Red]&quot;SFr.&quot;\-#,##0"/>
    <numFmt numFmtId="223" formatCode="_-&quot;£&quot;* #,##0.00_-;\-&quot;£&quot;* #,##0.00_-;_-&quot;£&quot;* &quot;-&quot;??_-;_-@_-"/>
    <numFmt numFmtId="224" formatCode="#,##0;[Red]\(#,##0\)"/>
    <numFmt numFmtId="225" formatCode="_(* #,##0_);_(* \(#,##0\);_(* &quot;-&quot;??_);_(@_)"/>
    <numFmt numFmtId="226" formatCode="&quot;$&quot;#,##0.00\ ;\(&quot;$&quot;\ #,##0.00\)"/>
    <numFmt numFmtId="227" formatCode="#,##0.0"/>
    <numFmt numFmtId="228" formatCode="_(&quot;$&quot;* #,##0.00_);_(&quot;$&quot;* \(#,##0.00\);_(&quot;$&quot;* 0_);_(@_)"/>
    <numFmt numFmtId="229" formatCode="0.000"/>
    <numFmt numFmtId="230" formatCode="_-[$$-409]* #,##0.000_ ;_-[$$-409]* \-#,##0.000\ ;_-[$$-409]* &quot;-&quot;???_ ;_-@_ "/>
    <numFmt numFmtId="231" formatCode="_(* #,##0.000_);_(* \(#,##0.000\);_(* 0_);_(@_)"/>
    <numFmt numFmtId="232" formatCode="_(&quot;$&quot;#,##0_);_(&quot;$&quot;\(#,##0\);_(@_)"/>
    <numFmt numFmtId="233" formatCode="_(&quot;$&quot;#,##0.00_);_(&quot;$&quot;\(#,##0.00\);_(&quot;$&quot;0_);_(@_)"/>
    <numFmt numFmtId="234" formatCode="_(&quot;$&quot;#,##0.00_);_(&quot;$&quot;\(#,##0.00\);_(@_)"/>
    <numFmt numFmtId="235" formatCode="_(&quot;$&quot;#,##0.0_);_(&quot;$&quot;\(#,##0.0\);_(&quot;$&quot;0_);_(@_)"/>
    <numFmt numFmtId="236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u/>
      <sz val="10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4" fontId="5" fillId="0" borderId="0" applyFill="0" applyBorder="0" applyAlignment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15" fontId="5" fillId="0" borderId="0" applyFill="0" applyBorder="0" applyAlignment="0"/>
    <xf numFmtId="221" fontId="5" fillId="0" borderId="0"/>
    <xf numFmtId="221" fontId="5" fillId="0" borderId="0"/>
    <xf numFmtId="221" fontId="5" fillId="0" borderId="0"/>
    <xf numFmtId="221" fontId="5" fillId="0" borderId="0"/>
    <xf numFmtId="221" fontId="5" fillId="0" borderId="0"/>
    <xf numFmtId="221" fontId="5" fillId="0" borderId="0"/>
    <xf numFmtId="221" fontId="5" fillId="0" borderId="0"/>
    <xf numFmtId="221" fontId="5" fillId="0" borderId="0"/>
    <xf numFmtId="0" fontId="39" fillId="0" borderId="4"/>
    <xf numFmtId="21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5" fontId="5" fillId="0" borderId="0" applyFont="0" applyFill="0" applyBorder="0" applyAlignment="0" applyProtection="0"/>
    <xf numFmtId="219" fontId="5" fillId="0" borderId="0" applyFill="0" applyBorder="0" applyAlignment="0"/>
    <xf numFmtId="215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15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19" fontId="5" fillId="0" borderId="0" applyFill="0" applyBorder="0" applyAlignment="0"/>
    <xf numFmtId="215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15" fontId="5" fillId="0" borderId="0" applyFill="0" applyBorder="0" applyAlignment="0"/>
    <xf numFmtId="222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8" fontId="5" fillId="0" borderId="0" applyFont="0" applyFill="0" applyBorder="0" applyAlignment="0" applyProtection="0"/>
    <xf numFmtId="222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5" fillId="0" borderId="0" applyFill="0" applyBorder="0" applyAlignment="0"/>
    <xf numFmtId="215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15" fontId="5" fillId="0" borderId="0" applyFill="0" applyBorder="0" applyAlignment="0"/>
    <xf numFmtId="223" fontId="5" fillId="0" borderId="0" applyFill="0" applyBorder="0" applyAlignment="0"/>
    <xf numFmtId="224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264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Protection="1">
      <protection locked="0"/>
    </xf>
    <xf numFmtId="0" fontId="46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0" applyNumberFormat="1" applyFont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0" fontId="53" fillId="0" borderId="0" xfId="0" applyFont="1" applyAlignment="1" applyProtection="1">
      <alignment horizontal="right" vertical="center"/>
      <protection locked="0"/>
    </xf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0" fontId="55" fillId="0" borderId="0" xfId="253" applyFont="1" applyFill="1" applyProtection="1"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165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horizontal="left"/>
      <protection locked="0" hidden="1"/>
    </xf>
    <xf numFmtId="0" fontId="53" fillId="0" borderId="0" xfId="201" applyFont="1" applyAlignment="1" applyProtection="1">
      <alignment horizontal="left" wrapText="1"/>
      <protection locked="0" hidden="1"/>
    </xf>
    <xf numFmtId="42" fontId="52" fillId="0" borderId="0" xfId="202" applyNumberFormat="1" applyFont="1" applyAlignment="1" applyProtection="1">
      <alignment horizontal="right"/>
      <protection locked="0"/>
    </xf>
    <xf numFmtId="42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41" fontId="52" fillId="0" borderId="0" xfId="187" applyNumberFormat="1" applyFont="1" applyAlignment="1" applyProtection="1">
      <alignment horizontal="right"/>
      <protection locked="0"/>
    </xf>
    <xf numFmtId="41" fontId="53" fillId="0" borderId="0" xfId="187" applyNumberFormat="1" applyFont="1" applyAlignment="1" applyProtection="1">
      <alignment horizontal="right"/>
      <protection locked="0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41" fontId="52" fillId="0" borderId="0" xfId="202" applyNumberFormat="1" applyFont="1" applyAlignment="1" applyProtection="1">
      <alignment horizontal="right"/>
      <protection locked="0"/>
    </xf>
    <xf numFmtId="41" fontId="53" fillId="0" borderId="0" xfId="202" applyNumberFormat="1" applyFont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3" fillId="7" borderId="0" xfId="0" applyFont="1" applyFill="1" applyAlignment="1" applyProtection="1">
      <alignment horizontal="left"/>
      <protection locked="0"/>
    </xf>
    <xf numFmtId="0" fontId="53" fillId="7" borderId="0" xfId="0" applyFont="1" applyFill="1" applyAlignment="1">
      <alignment horizontal="right"/>
    </xf>
    <xf numFmtId="0" fontId="55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28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5" fontId="53" fillId="7" borderId="0" xfId="257" applyNumberFormat="1" applyFont="1" applyFill="1"/>
    <xf numFmtId="0" fontId="55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7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5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6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26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211" fontId="57" fillId="7" borderId="0" xfId="257" applyNumberFormat="1" applyFont="1" applyFill="1"/>
    <xf numFmtId="0" fontId="59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201" applyFont="1" applyBorder="1" applyAlignment="1" applyProtection="1">
      <alignment horizontal="left"/>
      <protection locked="0" hidden="1"/>
    </xf>
    <xf numFmtId="213" fontId="53" fillId="0" borderId="8" xfId="202" applyNumberFormat="1" applyFont="1" applyBorder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0" fontId="53" fillId="0" borderId="8" xfId="202" applyFont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>
      <protection hidden="1"/>
    </xf>
    <xf numFmtId="37" fontId="53" fillId="0" borderId="0" xfId="202" applyNumberFormat="1" applyFont="1" applyAlignment="1" applyProtection="1">
      <alignment wrapText="1"/>
      <protection locked="0"/>
    </xf>
    <xf numFmtId="0" fontId="53" fillId="7" borderId="0" xfId="311" applyFont="1" applyFill="1" applyAlignment="1">
      <alignment horizontal="left"/>
    </xf>
    <xf numFmtId="9" fontId="53" fillId="0" borderId="0" xfId="256" applyFont="1" applyFill="1" applyBorder="1" applyProtection="1"/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/>
    <xf numFmtId="2" fontId="53" fillId="0" borderId="0" xfId="0" applyNumberFormat="1" applyFont="1"/>
    <xf numFmtId="229" fontId="53" fillId="7" borderId="0" xfId="0" applyNumberFormat="1" applyFont="1" applyFill="1"/>
    <xf numFmtId="229" fontId="53" fillId="0" borderId="0" xfId="0" applyNumberFormat="1" applyFont="1"/>
    <xf numFmtId="230" fontId="53" fillId="7" borderId="0" xfId="0" applyNumberFormat="1" applyFont="1" applyFill="1"/>
    <xf numFmtId="230" fontId="53" fillId="0" borderId="0" xfId="0" applyNumberFormat="1" applyFont="1"/>
    <xf numFmtId="231" fontId="53" fillId="0" borderId="0" xfId="254" applyNumberFormat="1" applyFont="1" applyFill="1" applyProtection="1"/>
    <xf numFmtId="0" fontId="53" fillId="7" borderId="0" xfId="0" applyFont="1" applyFill="1" applyAlignment="1" applyProtection="1">
      <alignment wrapText="1"/>
      <protection locked="0"/>
    </xf>
    <xf numFmtId="232" fontId="52" fillId="0" borderId="0" xfId="0" applyNumberFormat="1" applyFont="1" applyAlignment="1" applyProtection="1">
      <alignment horizontal="right"/>
      <protection locked="0"/>
    </xf>
    <xf numFmtId="232" fontId="53" fillId="0" borderId="0" xfId="0" applyNumberFormat="1" applyFont="1" applyAlignment="1" applyProtection="1">
      <alignment horizontal="right"/>
      <protection locked="0"/>
    </xf>
    <xf numFmtId="232" fontId="52" fillId="0" borderId="5" xfId="0" applyNumberFormat="1" applyFont="1" applyBorder="1" applyAlignment="1" applyProtection="1">
      <alignment horizontal="right"/>
      <protection locked="0"/>
    </xf>
    <xf numFmtId="232" fontId="53" fillId="0" borderId="5" xfId="0" applyNumberFormat="1" applyFont="1" applyBorder="1" applyAlignment="1" applyProtection="1">
      <alignment horizontal="right"/>
      <protection locked="0"/>
    </xf>
    <xf numFmtId="233" fontId="52" fillId="0" borderId="0" xfId="0" applyNumberFormat="1" applyFont="1" applyAlignment="1" applyProtection="1">
      <alignment horizontal="right"/>
      <protection locked="0"/>
    </xf>
    <xf numFmtId="233" fontId="53" fillId="0" borderId="0" xfId="0" applyNumberFormat="1" applyFont="1" applyAlignment="1" applyProtection="1">
      <alignment horizontal="right"/>
      <protection locked="0"/>
    </xf>
    <xf numFmtId="233" fontId="53" fillId="0" borderId="0" xfId="0" applyNumberFormat="1" applyFont="1" applyAlignment="1" applyProtection="1">
      <alignment horizontal="right" vertical="center"/>
      <protection locked="0"/>
    </xf>
    <xf numFmtId="232" fontId="52" fillId="0" borderId="8" xfId="0" applyNumberFormat="1" applyFont="1" applyBorder="1" applyAlignment="1" applyProtection="1">
      <alignment horizontal="right"/>
      <protection locked="0"/>
    </xf>
    <xf numFmtId="232" fontId="53" fillId="0" borderId="8" xfId="0" applyNumberFormat="1" applyFont="1" applyBorder="1" applyAlignment="1" applyProtection="1">
      <alignment horizontal="right"/>
      <protection locked="0"/>
    </xf>
    <xf numFmtId="232" fontId="52" fillId="0" borderId="13" xfId="0" applyNumberFormat="1" applyFont="1" applyBorder="1" applyAlignment="1" applyProtection="1">
      <alignment horizontal="right"/>
      <protection locked="0"/>
    </xf>
    <xf numFmtId="232" fontId="53" fillId="0" borderId="13" xfId="0" applyNumberFormat="1" applyFont="1" applyBorder="1" applyAlignment="1" applyProtection="1">
      <alignment horizontal="right"/>
      <protection locked="0"/>
    </xf>
    <xf numFmtId="232" fontId="52" fillId="0" borderId="0" xfId="202" applyNumberFormat="1" applyFont="1" applyAlignment="1" applyProtection="1">
      <alignment horizontal="right"/>
      <protection locked="0"/>
    </xf>
    <xf numFmtId="232" fontId="53" fillId="0" borderId="0" xfId="202" applyNumberFormat="1" applyFont="1" applyAlignment="1" applyProtection="1">
      <alignment horizontal="right"/>
      <protection locked="0"/>
    </xf>
    <xf numFmtId="232" fontId="52" fillId="0" borderId="5" xfId="202" applyNumberFormat="1" applyFont="1" applyBorder="1" applyAlignment="1" applyProtection="1">
      <alignment horizontal="right"/>
      <protection locked="0"/>
    </xf>
    <xf numFmtId="232" fontId="53" fillId="0" borderId="5" xfId="202" applyNumberFormat="1" applyFont="1" applyBorder="1" applyAlignment="1" applyProtection="1">
      <alignment horizontal="right"/>
      <protection locked="0"/>
    </xf>
    <xf numFmtId="232" fontId="52" fillId="7" borderId="0" xfId="191" applyNumberFormat="1" applyFont="1" applyFill="1" applyAlignment="1" applyProtection="1">
      <alignment horizontal="right"/>
      <protection locked="0"/>
    </xf>
    <xf numFmtId="232" fontId="53" fillId="7" borderId="0" xfId="0" applyNumberFormat="1" applyFont="1" applyFill="1" applyAlignment="1" applyProtection="1">
      <alignment horizontal="right"/>
      <protection locked="0"/>
    </xf>
    <xf numFmtId="232" fontId="52" fillId="7" borderId="5" xfId="191" applyNumberFormat="1" applyFont="1" applyFill="1" applyBorder="1" applyAlignment="1" applyProtection="1">
      <alignment horizontal="right"/>
      <protection locked="0"/>
    </xf>
    <xf numFmtId="232" fontId="53" fillId="7" borderId="5" xfId="191" applyNumberFormat="1" applyFont="1" applyFill="1" applyBorder="1" applyAlignment="1" applyProtection="1">
      <alignment horizontal="right"/>
      <protection locked="0"/>
    </xf>
    <xf numFmtId="232" fontId="53" fillId="0" borderId="3" xfId="0" applyNumberFormat="1" applyFont="1" applyBorder="1"/>
    <xf numFmtId="232" fontId="53" fillId="0" borderId="13" xfId="0" applyNumberFormat="1" applyFont="1" applyBorder="1"/>
    <xf numFmtId="232" fontId="53" fillId="0" borderId="0" xfId="311" applyNumberFormat="1" applyFont="1"/>
    <xf numFmtId="232" fontId="53" fillId="7" borderId="0" xfId="311" applyNumberFormat="1" applyFont="1" applyFill="1" applyAlignment="1">
      <alignment horizontal="right"/>
    </xf>
    <xf numFmtId="232" fontId="53" fillId="0" borderId="0" xfId="311" applyNumberFormat="1" applyFont="1" applyProtection="1">
      <protection locked="0"/>
    </xf>
    <xf numFmtId="232" fontId="53" fillId="0" borderId="13" xfId="310" applyNumberFormat="1" applyFont="1" applyBorder="1" applyProtection="1">
      <protection hidden="1"/>
    </xf>
    <xf numFmtId="232" fontId="53" fillId="7" borderId="0" xfId="311" applyNumberFormat="1" applyFont="1" applyFill="1"/>
    <xf numFmtId="232" fontId="53" fillId="0" borderId="13" xfId="310" applyNumberFormat="1" applyFont="1" applyBorder="1" applyProtection="1">
      <protection locked="0" hidden="1"/>
    </xf>
    <xf numFmtId="232" fontId="53" fillId="0" borderId="0" xfId="255" applyNumberFormat="1" applyFont="1" applyFill="1" applyProtection="1"/>
    <xf numFmtId="232" fontId="53" fillId="0" borderId="0" xfId="281" applyNumberFormat="1" applyFont="1" applyFill="1" applyBorder="1">
      <protection hidden="1"/>
    </xf>
    <xf numFmtId="234" fontId="53" fillId="0" borderId="0" xfId="0" applyNumberFormat="1" applyFont="1"/>
    <xf numFmtId="0" fontId="53" fillId="0" borderId="8" xfId="0" applyFont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Alignment="1">
      <alignment wrapText="1"/>
    </xf>
    <xf numFmtId="235" fontId="53" fillId="7" borderId="0" xfId="310" applyNumberFormat="1" applyFont="1" applyFill="1"/>
    <xf numFmtId="236" fontId="53" fillId="7" borderId="0" xfId="310" applyNumberFormat="1" applyFont="1" applyFill="1"/>
    <xf numFmtId="0" fontId="52" fillId="7" borderId="0" xfId="257" applyFont="1" applyFill="1" applyAlignment="1">
      <alignment horizontal="right"/>
    </xf>
    <xf numFmtId="234" fontId="53" fillId="0" borderId="0" xfId="257" applyNumberFormat="1" applyFont="1"/>
    <xf numFmtId="227" fontId="57" fillId="7" borderId="0" xfId="325" applyNumberFormat="1" applyFont="1" applyFill="1" applyBorder="1"/>
    <xf numFmtId="212" fontId="53" fillId="7" borderId="0" xfId="257" applyNumberFormat="1" applyFont="1" applyFill="1"/>
    <xf numFmtId="165" fontId="57" fillId="7" borderId="0" xfId="257" applyNumberFormat="1" applyFont="1" applyFill="1"/>
    <xf numFmtId="232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0" fontId="53" fillId="7" borderId="4" xfId="0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Alignment="1" applyProtection="1">
      <alignment wrapText="1"/>
      <protection locked="0"/>
    </xf>
    <xf numFmtId="9" fontId="52" fillId="0" borderId="5" xfId="0" applyNumberFormat="1" applyFont="1" applyBorder="1" applyAlignment="1" applyProtection="1">
      <alignment horizontal="right"/>
      <protection locked="0"/>
    </xf>
    <xf numFmtId="49" fontId="53" fillId="0" borderId="0" xfId="0" applyNumberFormat="1" applyFont="1"/>
    <xf numFmtId="49" fontId="53" fillId="0" borderId="0" xfId="254" applyNumberFormat="1" applyFont="1" applyFill="1" applyBorder="1" applyProtection="1"/>
    <xf numFmtId="49" fontId="52" fillId="7" borderId="4" xfId="0" applyNumberFormat="1" applyFont="1" applyFill="1" applyBorder="1" applyAlignment="1">
      <alignment horizontal="right"/>
    </xf>
    <xf numFmtId="49" fontId="52" fillId="7" borderId="4" xfId="257" applyNumberFormat="1" applyFont="1" applyFill="1" applyBorder="1" applyAlignment="1">
      <alignment horizontal="right"/>
    </xf>
    <xf numFmtId="49" fontId="0" fillId="7" borderId="0" xfId="0" applyNumberFormat="1" applyFill="1"/>
    <xf numFmtId="0" fontId="52" fillId="0" borderId="4" xfId="0" applyFont="1" applyBorder="1" applyAlignment="1">
      <alignment horizontal="right"/>
    </xf>
    <xf numFmtId="0" fontId="53" fillId="0" borderId="4" xfId="0" applyFont="1" applyBorder="1"/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6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0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3" fontId="60" fillId="0" borderId="0" xfId="0" applyNumberFormat="1" applyFont="1" applyAlignment="1">
      <alignment vertical="center" wrapText="1"/>
    </xf>
    <xf numFmtId="10" fontId="60" fillId="0" borderId="0" xfId="0" applyNumberFormat="1" applyFont="1" applyAlignment="1">
      <alignment vertical="center" wrapText="1"/>
    </xf>
    <xf numFmtId="0" fontId="61" fillId="0" borderId="6" xfId="0" applyFont="1" applyBorder="1" applyProtection="1">
      <protection locked="0"/>
    </xf>
    <xf numFmtId="0" fontId="46" fillId="0" borderId="6" xfId="0" applyFont="1" applyBorder="1" applyAlignment="1" applyProtection="1">
      <alignment horizontal="right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46" fillId="0" borderId="6" xfId="0" applyFont="1" applyBorder="1" applyProtection="1">
      <protection locked="0"/>
    </xf>
    <xf numFmtId="0" fontId="62" fillId="0" borderId="6" xfId="253" applyFont="1" applyFill="1" applyBorder="1" applyProtection="1">
      <protection locked="0"/>
    </xf>
    <xf numFmtId="0" fontId="46" fillId="0" borderId="6" xfId="0" applyFont="1" applyBorder="1"/>
    <xf numFmtId="0" fontId="46" fillId="0" borderId="6" xfId="0" applyFont="1" applyBorder="1" applyAlignment="1" applyProtection="1">
      <protection locked="0"/>
    </xf>
    <xf numFmtId="0" fontId="46" fillId="0" borderId="6" xfId="0" applyFont="1" applyBorder="1" applyAlignment="1" applyProtection="1">
      <alignment horizontal="center"/>
      <protection locked="0"/>
    </xf>
    <xf numFmtId="210" fontId="61" fillId="0" borderId="6" xfId="0" quotePrefix="1" applyNumberFormat="1" applyFont="1" applyBorder="1" applyAlignment="1" applyProtection="1">
      <alignment horizontal="right" wrapText="1"/>
      <protection locked="0"/>
    </xf>
    <xf numFmtId="0" fontId="61" fillId="0" borderId="6" xfId="200" applyFont="1" applyBorder="1" applyProtection="1">
      <protection locked="0"/>
    </xf>
    <xf numFmtId="37" fontId="46" fillId="0" borderId="6" xfId="196" applyFont="1" applyBorder="1" applyAlignment="1" applyProtection="1">
      <alignment horizontal="right"/>
      <protection locked="0"/>
    </xf>
    <xf numFmtId="37" fontId="46" fillId="0" borderId="6" xfId="196" applyFont="1" applyBorder="1" applyAlignment="1" applyProtection="1">
      <alignment horizontal="right" wrapText="1"/>
      <protection locked="0"/>
    </xf>
    <xf numFmtId="0" fontId="46" fillId="0" borderId="6" xfId="200" applyFont="1" applyBorder="1" applyProtection="1">
      <protection locked="0"/>
    </xf>
    <xf numFmtId="0" fontId="46" fillId="0" borderId="6" xfId="200" applyFont="1" applyBorder="1" applyAlignment="1" applyProtection="1">
      <alignment horizontal="left"/>
      <protection locked="0"/>
    </xf>
    <xf numFmtId="232" fontId="46" fillId="0" borderId="6" xfId="196" applyNumberFormat="1" applyFont="1" applyBorder="1" applyAlignment="1" applyProtection="1">
      <alignment horizontal="right"/>
      <protection locked="0"/>
    </xf>
    <xf numFmtId="232" fontId="61" fillId="0" borderId="6" xfId="196" applyNumberFormat="1" applyFont="1" applyBorder="1" applyAlignment="1" applyProtection="1">
      <alignment horizontal="right"/>
      <protection locked="0"/>
    </xf>
    <xf numFmtId="0" fontId="46" fillId="0" borderId="6" xfId="200" applyFont="1" applyBorder="1" applyAlignment="1" applyProtection="1">
      <alignment horizontal="left" wrapText="1"/>
      <protection locked="0"/>
    </xf>
    <xf numFmtId="37" fontId="46" fillId="0" borderId="6" xfId="200" applyNumberFormat="1" applyFont="1" applyBorder="1" applyAlignment="1" applyProtection="1">
      <alignment horizontal="right"/>
      <protection locked="0"/>
    </xf>
    <xf numFmtId="37" fontId="61" fillId="0" borderId="6" xfId="200" applyNumberFormat="1" applyFont="1" applyBorder="1" applyAlignment="1" applyProtection="1">
      <alignment horizontal="right"/>
      <protection locked="0"/>
    </xf>
    <xf numFmtId="37" fontId="61" fillId="0" borderId="6" xfId="196" applyFont="1" applyBorder="1" applyAlignment="1" applyProtection="1">
      <alignment horizontal="right"/>
      <protection locked="0"/>
    </xf>
    <xf numFmtId="0" fontId="46" fillId="0" borderId="6" xfId="200" applyFont="1" applyBorder="1" applyAlignment="1" applyProtection="1">
      <alignment horizontal="left" vertical="center"/>
      <protection locked="0"/>
    </xf>
    <xf numFmtId="0" fontId="46" fillId="0" borderId="6" xfId="200" applyFont="1" applyBorder="1" applyAlignment="1" applyProtection="1">
      <alignment wrapText="1"/>
      <protection locked="0"/>
    </xf>
    <xf numFmtId="232" fontId="46" fillId="0" borderId="6" xfId="200" applyNumberFormat="1" applyFont="1" applyBorder="1" applyAlignment="1" applyProtection="1">
      <alignment horizontal="right"/>
      <protection locked="0"/>
    </xf>
    <xf numFmtId="232" fontId="61" fillId="0" borderId="6" xfId="200" applyNumberFormat="1" applyFont="1" applyBorder="1" applyAlignment="1" applyProtection="1">
      <alignment horizontal="right"/>
      <protection locked="0"/>
    </xf>
    <xf numFmtId="41" fontId="46" fillId="0" borderId="6" xfId="196" applyNumberFormat="1" applyFont="1" applyBorder="1" applyAlignment="1" applyProtection="1">
      <alignment horizontal="right"/>
      <protection locked="0"/>
    </xf>
    <xf numFmtId="41" fontId="61" fillId="0" borderId="6" xfId="196" applyNumberFormat="1" applyFont="1" applyBorder="1" applyAlignment="1" applyProtection="1">
      <alignment horizontal="right"/>
      <protection locked="0"/>
    </xf>
    <xf numFmtId="41" fontId="46" fillId="0" borderId="6" xfId="200" applyNumberFormat="1" applyFont="1" applyBorder="1" applyAlignment="1" applyProtection="1">
      <alignment horizontal="right"/>
      <protection locked="0"/>
    </xf>
    <xf numFmtId="41" fontId="61" fillId="0" borderId="6" xfId="200" applyNumberFormat="1" applyFont="1" applyBorder="1" applyAlignment="1" applyProtection="1">
      <alignment horizontal="right"/>
      <protection locked="0"/>
    </xf>
    <xf numFmtId="3" fontId="46" fillId="0" borderId="6" xfId="88" applyNumberFormat="1" applyFont="1" applyFill="1" applyBorder="1" applyAlignment="1" applyProtection="1">
      <alignment horizontal="left" wrapText="1"/>
      <protection locked="0"/>
    </xf>
    <xf numFmtId="3" fontId="46" fillId="0" borderId="6" xfId="88" applyNumberFormat="1" applyFont="1" applyFill="1" applyBorder="1" applyAlignment="1" applyProtection="1">
      <alignment horizontal="left"/>
      <protection locked="0"/>
    </xf>
    <xf numFmtId="0" fontId="46" fillId="0" borderId="6" xfId="200" applyFont="1" applyBorder="1" applyAlignment="1" applyProtection="1">
      <alignment horizontal="right"/>
      <protection locked="0"/>
    </xf>
    <xf numFmtId="0" fontId="46" fillId="0" borderId="6" xfId="200" applyFont="1" applyBorder="1" applyAlignment="1" applyProtection="1">
      <alignment horizontal="left" indent="1"/>
      <protection locked="0"/>
    </xf>
    <xf numFmtId="0" fontId="46" fillId="0" borderId="6" xfId="0" applyFont="1" applyBorder="1" applyAlignment="1">
      <alignment horizontal="right"/>
    </xf>
    <xf numFmtId="0" fontId="46" fillId="0" borderId="6" xfId="0" applyFont="1" applyBorder="1" applyProtection="1"/>
    <xf numFmtId="232" fontId="46" fillId="0" borderId="6" xfId="0" applyNumberFormat="1" applyFont="1" applyBorder="1" applyAlignment="1" applyProtection="1">
      <alignment horizontal="left"/>
    </xf>
    <xf numFmtId="0" fontId="58" fillId="0" borderId="14" xfId="0" applyFont="1" applyBorder="1" applyAlignment="1" applyProtection="1">
      <alignment horizontal="left"/>
      <protection locked="0"/>
    </xf>
    <xf numFmtId="0" fontId="58" fillId="0" borderId="9" xfId="0" applyFont="1" applyBorder="1" applyAlignment="1" applyProtection="1">
      <alignment horizontal="left"/>
      <protection locked="0"/>
    </xf>
    <xf numFmtId="0" fontId="58" fillId="0" borderId="15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 wrapText="1"/>
      <protection locked="0"/>
    </xf>
    <xf numFmtId="0" fontId="46" fillId="0" borderId="0" xfId="0" applyFont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46" fillId="0" borderId="18" xfId="0" applyFont="1" applyBorder="1" applyAlignment="1" applyProtection="1">
      <alignment horizontal="left"/>
      <protection locked="0"/>
    </xf>
    <xf numFmtId="0" fontId="46" fillId="0" borderId="5" xfId="0" applyFont="1" applyBorder="1" applyAlignment="1" applyProtection="1">
      <alignment horizontal="left"/>
      <protection locked="0"/>
    </xf>
    <xf numFmtId="0" fontId="46" fillId="0" borderId="19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center"/>
      <protection locked="0"/>
    </xf>
    <xf numFmtId="0" fontId="46" fillId="0" borderId="0" xfId="0" applyFont="1" applyAlignment="1" applyProtection="1">
      <alignment horizontal="center"/>
      <protection locked="0"/>
    </xf>
    <xf numFmtId="0" fontId="46" fillId="0" borderId="17" xfId="0" applyFont="1" applyBorder="1" applyAlignment="1" applyProtection="1">
      <alignment horizontal="center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0" fontId="46" fillId="0" borderId="7" xfId="0" applyFont="1" applyBorder="1" applyAlignment="1" applyProtection="1">
      <alignment horizontal="left" vertical="center" wrapText="1"/>
      <protection locked="0"/>
    </xf>
    <xf numFmtId="0" fontId="46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0" borderId="0" xfId="200" applyFont="1" applyAlignment="1" applyProtection="1">
      <protection locked="0"/>
    </xf>
    <xf numFmtId="0" fontId="53" fillId="7" borderId="4" xfId="309" applyFont="1" applyFill="1" applyBorder="1" applyAlignment="1">
      <alignment horizontal="center"/>
    </xf>
    <xf numFmtId="9" fontId="46" fillId="0" borderId="6" xfId="0" applyNumberFormat="1" applyFont="1" applyBorder="1" applyAlignment="1" applyProtection="1">
      <alignment horizontal="center"/>
      <protection locked="0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48"/>
  <sheetViews>
    <sheetView showGridLines="0" tabSelected="1" zoomScale="85" zoomScaleNormal="85" workbookViewId="0">
      <selection activeCell="D23" sqref="D23:E24"/>
    </sheetView>
  </sheetViews>
  <sheetFormatPr defaultColWidth="9" defaultRowHeight="14.25" customHeight="1"/>
  <cols>
    <col min="1" max="1" width="56" style="210" customWidth="1"/>
    <col min="2" max="2" width="10.88671875" style="237" customWidth="1"/>
    <col min="3" max="4" width="13.88671875" style="237" customWidth="1"/>
    <col min="5" max="5" width="17.33203125" style="237" customWidth="1"/>
    <col min="6" max="6" width="12.88671875" style="210" customWidth="1"/>
    <col min="7" max="7" width="13" style="210" customWidth="1"/>
    <col min="8" max="8" width="15" style="210" customWidth="1"/>
    <col min="9" max="16384" width="9" style="210"/>
  </cols>
  <sheetData>
    <row r="1" spans="1:8" ht="15">
      <c r="A1" s="205" t="s">
        <v>49</v>
      </c>
      <c r="B1" s="206"/>
      <c r="C1" s="206"/>
      <c r="D1" s="206"/>
      <c r="E1" s="206"/>
      <c r="F1" s="207"/>
      <c r="G1" s="208"/>
      <c r="H1" s="209" t="s">
        <v>17</v>
      </c>
    </row>
    <row r="2" spans="1:8" ht="15">
      <c r="A2" s="205"/>
      <c r="B2" s="206"/>
      <c r="C2" s="206"/>
      <c r="D2" s="206"/>
      <c r="E2" s="206"/>
      <c r="F2" s="207"/>
      <c r="G2" s="208"/>
      <c r="H2" s="208"/>
    </row>
    <row r="3" spans="1:8" ht="15">
      <c r="A3" s="211" t="s">
        <v>50</v>
      </c>
      <c r="B3" s="212"/>
      <c r="C3" s="211"/>
      <c r="D3" s="211"/>
      <c r="E3" s="211"/>
      <c r="F3" s="207"/>
      <c r="G3" s="208"/>
      <c r="H3" s="208"/>
    </row>
    <row r="4" spans="1:8" ht="15">
      <c r="A4" s="211" t="s">
        <v>42</v>
      </c>
      <c r="B4" s="211"/>
      <c r="C4" s="211"/>
      <c r="D4" s="211"/>
      <c r="E4" s="211"/>
      <c r="F4" s="207"/>
      <c r="G4" s="208"/>
      <c r="H4" s="208"/>
    </row>
    <row r="5" spans="1:8" ht="15">
      <c r="A5" s="212"/>
      <c r="B5" s="212"/>
      <c r="C5" s="263">
        <v>0.6</v>
      </c>
      <c r="D5" s="263">
        <v>0.8</v>
      </c>
      <c r="E5" s="263">
        <v>1</v>
      </c>
      <c r="F5" s="207"/>
      <c r="G5" s="208"/>
      <c r="H5" s="208"/>
    </row>
    <row r="6" spans="1:8" ht="30">
      <c r="A6" s="205" t="s">
        <v>291</v>
      </c>
      <c r="B6" s="213" t="s">
        <v>51</v>
      </c>
      <c r="C6" s="213" t="s">
        <v>52</v>
      </c>
      <c r="D6" s="213"/>
      <c r="E6" s="213"/>
      <c r="F6" s="213" t="s">
        <v>292</v>
      </c>
      <c r="G6" s="213" t="s">
        <v>293</v>
      </c>
      <c r="H6" s="208"/>
    </row>
    <row r="7" spans="1:8" ht="15">
      <c r="A7" s="214" t="s">
        <v>53</v>
      </c>
      <c r="B7" s="215"/>
      <c r="C7" s="216"/>
      <c r="D7" s="216"/>
      <c r="E7" s="216"/>
      <c r="F7" s="207"/>
      <c r="G7" s="208"/>
      <c r="H7" s="208"/>
    </row>
    <row r="8" spans="1:8" ht="15">
      <c r="A8" s="217" t="s">
        <v>54</v>
      </c>
      <c r="B8" s="215"/>
      <c r="C8" s="215"/>
      <c r="D8" s="215"/>
      <c r="E8" s="215"/>
      <c r="F8" s="207"/>
      <c r="G8" s="208"/>
      <c r="H8" s="208"/>
    </row>
    <row r="9" spans="1:8" ht="15">
      <c r="A9" s="218" t="s">
        <v>55</v>
      </c>
      <c r="B9" s="219">
        <v>13931</v>
      </c>
      <c r="C9" s="220">
        <v>34704</v>
      </c>
      <c r="D9" s="220">
        <f>(80/60)*C9</f>
        <v>46272</v>
      </c>
      <c r="E9" s="220">
        <f>(100/60)*C9</f>
        <v>57840</v>
      </c>
      <c r="F9" s="239">
        <f>C9-B9</f>
        <v>20773</v>
      </c>
      <c r="G9" s="238">
        <f>(F9/B9)*100</f>
        <v>149.11348790467304</v>
      </c>
      <c r="H9" s="208"/>
    </row>
    <row r="10" spans="1:8" ht="15">
      <c r="A10" s="221" t="s">
        <v>56</v>
      </c>
      <c r="B10" s="222">
        <v>90826</v>
      </c>
      <c r="C10" s="223">
        <v>76558</v>
      </c>
      <c r="D10" s="220">
        <f t="shared" ref="D10:D45" si="0">(80/60)*C10</f>
        <v>102077.33333333333</v>
      </c>
      <c r="E10" s="220">
        <f t="shared" ref="E10:E45" si="1">(100/60)*C10</f>
        <v>127596.66666666667</v>
      </c>
      <c r="F10" s="239">
        <f>C10-B10</f>
        <v>-14268</v>
      </c>
      <c r="G10" s="238">
        <f>(F10/B10)*100</f>
        <v>-15.7091581705679</v>
      </c>
      <c r="H10" s="208"/>
    </row>
    <row r="11" spans="1:8" ht="15">
      <c r="A11" s="221" t="s">
        <v>57</v>
      </c>
      <c r="B11" s="222">
        <v>104757</v>
      </c>
      <c r="C11" s="223">
        <v>111262</v>
      </c>
      <c r="D11" s="220">
        <f t="shared" si="0"/>
        <v>148349.33333333331</v>
      </c>
      <c r="E11" s="220">
        <f t="shared" si="1"/>
        <v>185436.66666666669</v>
      </c>
      <c r="F11" s="239">
        <f>C11-B11</f>
        <v>6505</v>
      </c>
      <c r="G11" s="238">
        <f>(F11/B11)*100</f>
        <v>6.2096089044168883</v>
      </c>
      <c r="H11" s="208"/>
    </row>
    <row r="12" spans="1:8" ht="30">
      <c r="A12" s="221" t="s">
        <v>294</v>
      </c>
      <c r="B12" s="222">
        <v>44261</v>
      </c>
      <c r="C12" s="223">
        <v>48688</v>
      </c>
      <c r="D12" s="220">
        <f t="shared" si="0"/>
        <v>64917.333333333328</v>
      </c>
      <c r="E12" s="220">
        <f t="shared" si="1"/>
        <v>81146.666666666672</v>
      </c>
      <c r="F12" s="239">
        <f>C12-B12</f>
        <v>4427</v>
      </c>
      <c r="G12" s="238">
        <f>(F12/B12)*100</f>
        <v>10.002033392828903</v>
      </c>
      <c r="H12" s="208"/>
    </row>
    <row r="13" spans="1:8" ht="15">
      <c r="A13" s="218" t="s">
        <v>58</v>
      </c>
      <c r="B13" s="215">
        <v>3742</v>
      </c>
      <c r="C13" s="224">
        <v>2500</v>
      </c>
      <c r="D13" s="220">
        <f t="shared" si="0"/>
        <v>3333.333333333333</v>
      </c>
      <c r="E13" s="220">
        <f t="shared" si="1"/>
        <v>4166.666666666667</v>
      </c>
      <c r="F13" s="239">
        <f>C13-B13</f>
        <v>-1242</v>
      </c>
      <c r="G13" s="238">
        <f>(F13/B13)*100</f>
        <v>-33.190807055050776</v>
      </c>
      <c r="H13" s="208"/>
    </row>
    <row r="14" spans="1:8" ht="15">
      <c r="A14" s="225" t="s">
        <v>59</v>
      </c>
      <c r="B14" s="215">
        <v>16924</v>
      </c>
      <c r="C14" s="224">
        <v>21807</v>
      </c>
      <c r="D14" s="220">
        <f t="shared" si="0"/>
        <v>29076</v>
      </c>
      <c r="E14" s="220">
        <f t="shared" si="1"/>
        <v>36345</v>
      </c>
      <c r="F14" s="239">
        <f>C14-B14</f>
        <v>4883</v>
      </c>
      <c r="G14" s="238">
        <f>(F14/B14)*100</f>
        <v>28.852517135428979</v>
      </c>
      <c r="H14" s="208"/>
    </row>
    <row r="15" spans="1:8" ht="15">
      <c r="A15" s="218" t="s">
        <v>60</v>
      </c>
      <c r="B15" s="222">
        <v>169684</v>
      </c>
      <c r="C15" s="223">
        <v>184257</v>
      </c>
      <c r="D15" s="220">
        <f t="shared" si="0"/>
        <v>245676</v>
      </c>
      <c r="E15" s="220">
        <f t="shared" si="1"/>
        <v>307095</v>
      </c>
      <c r="F15" s="239">
        <f>C15-B15</f>
        <v>14573</v>
      </c>
      <c r="G15" s="238">
        <f>(F15/B15)*100</f>
        <v>8.5883171070931859</v>
      </c>
      <c r="H15" s="208"/>
    </row>
    <row r="16" spans="1:8" ht="30">
      <c r="A16" s="226" t="s">
        <v>295</v>
      </c>
      <c r="B16" s="215">
        <v>74398</v>
      </c>
      <c r="C16" s="224">
        <v>95641</v>
      </c>
      <c r="D16" s="220">
        <f t="shared" si="0"/>
        <v>127521.33333333333</v>
      </c>
      <c r="E16" s="220">
        <f t="shared" si="1"/>
        <v>159401.66666666669</v>
      </c>
      <c r="F16" s="239">
        <f>C16-B16</f>
        <v>21243</v>
      </c>
      <c r="G16" s="238">
        <f>(F16/B16)*100</f>
        <v>28.55318691362671</v>
      </c>
      <c r="H16" s="208"/>
    </row>
    <row r="17" spans="1:8" ht="15">
      <c r="A17" s="226" t="s">
        <v>61</v>
      </c>
      <c r="B17" s="215">
        <v>13148</v>
      </c>
      <c r="C17" s="224">
        <v>14346</v>
      </c>
      <c r="D17" s="220">
        <f t="shared" si="0"/>
        <v>19128</v>
      </c>
      <c r="E17" s="220">
        <f t="shared" si="1"/>
        <v>23910</v>
      </c>
      <c r="F17" s="239">
        <f>C17-B17</f>
        <v>1198</v>
      </c>
      <c r="G17" s="238">
        <f>(F17/B17)*100</f>
        <v>9.1116519622756318</v>
      </c>
      <c r="H17" s="208"/>
    </row>
    <row r="18" spans="1:8" ht="15">
      <c r="A18" s="217" t="s">
        <v>62</v>
      </c>
      <c r="B18" s="215">
        <v>6891</v>
      </c>
      <c r="C18" s="224">
        <v>9879</v>
      </c>
      <c r="D18" s="220">
        <f t="shared" si="0"/>
        <v>13172</v>
      </c>
      <c r="E18" s="220">
        <f t="shared" si="1"/>
        <v>16465</v>
      </c>
      <c r="F18" s="239">
        <f>C18-B18</f>
        <v>2988</v>
      </c>
      <c r="G18" s="238">
        <f>(F18/B18)*100</f>
        <v>43.360905528950802</v>
      </c>
      <c r="H18" s="208"/>
    </row>
    <row r="19" spans="1:8" ht="15">
      <c r="A19" s="217" t="s">
        <v>63</v>
      </c>
      <c r="B19" s="215">
        <v>67524</v>
      </c>
      <c r="C19" s="224">
        <v>67886</v>
      </c>
      <c r="D19" s="220">
        <f t="shared" si="0"/>
        <v>90514.666666666657</v>
      </c>
      <c r="E19" s="220">
        <f t="shared" si="1"/>
        <v>113143.33333333334</v>
      </c>
      <c r="F19" s="239">
        <f>C19-B19</f>
        <v>362</v>
      </c>
      <c r="G19" s="238">
        <f>(F19/B19)*100</f>
        <v>0.53610568094307209</v>
      </c>
      <c r="H19" s="208"/>
    </row>
    <row r="20" spans="1:8" ht="15">
      <c r="A20" s="217" t="s">
        <v>64</v>
      </c>
      <c r="B20" s="215">
        <v>11298</v>
      </c>
      <c r="C20" s="224">
        <v>9366</v>
      </c>
      <c r="D20" s="220">
        <f t="shared" si="0"/>
        <v>12488</v>
      </c>
      <c r="E20" s="220">
        <f t="shared" si="1"/>
        <v>15610</v>
      </c>
      <c r="F20" s="239">
        <f>C20-B20</f>
        <v>-1932</v>
      </c>
      <c r="G20" s="238">
        <f>(F20/B20)*100</f>
        <v>-17.100371747211895</v>
      </c>
      <c r="H20" s="208"/>
    </row>
    <row r="21" spans="1:8" ht="15">
      <c r="A21" s="217" t="s">
        <v>65</v>
      </c>
      <c r="B21" s="215">
        <v>21897</v>
      </c>
      <c r="C21" s="224">
        <v>30601</v>
      </c>
      <c r="D21" s="220">
        <f t="shared" si="0"/>
        <v>40801.333333333328</v>
      </c>
      <c r="E21" s="220">
        <f t="shared" si="1"/>
        <v>51001.666666666672</v>
      </c>
      <c r="F21" s="239">
        <f>C21-B21</f>
        <v>8704</v>
      </c>
      <c r="G21" s="238">
        <f>(F21/B21)*100</f>
        <v>39.749737406950722</v>
      </c>
      <c r="H21" s="208"/>
    </row>
    <row r="22" spans="1:8" ht="15">
      <c r="A22" s="218" t="s">
        <v>66</v>
      </c>
      <c r="B22" s="227">
        <v>364840</v>
      </c>
      <c r="C22" s="228">
        <v>411976</v>
      </c>
      <c r="D22" s="220">
        <f t="shared" si="0"/>
        <v>549301.33333333326</v>
      </c>
      <c r="E22" s="220">
        <f t="shared" si="1"/>
        <v>686626.66666666674</v>
      </c>
      <c r="F22" s="239">
        <f>C22-B22</f>
        <v>47136</v>
      </c>
      <c r="G22" s="238">
        <f>(F22/B22)*100</f>
        <v>12.919636004824032</v>
      </c>
      <c r="H22" s="208"/>
    </row>
    <row r="23" spans="1:8" ht="15">
      <c r="A23" s="214" t="s">
        <v>67</v>
      </c>
      <c r="B23" s="229"/>
      <c r="C23" s="230"/>
      <c r="D23" s="220"/>
      <c r="E23" s="220"/>
      <c r="F23" s="239"/>
      <c r="G23" s="238"/>
      <c r="H23" s="208"/>
    </row>
    <row r="24" spans="1:8" ht="15">
      <c r="A24" s="217" t="s">
        <v>68</v>
      </c>
      <c r="B24" s="229"/>
      <c r="C24" s="230"/>
      <c r="D24" s="220"/>
      <c r="E24" s="220"/>
      <c r="F24" s="239"/>
      <c r="G24" s="238"/>
      <c r="H24" s="208"/>
    </row>
    <row r="25" spans="1:8" ht="15">
      <c r="A25" s="218" t="s">
        <v>69</v>
      </c>
      <c r="B25" s="219">
        <v>19000</v>
      </c>
      <c r="C25" s="220">
        <v>18095</v>
      </c>
      <c r="D25" s="220">
        <f t="shared" si="0"/>
        <v>24126.666666666664</v>
      </c>
      <c r="E25" s="220">
        <f t="shared" si="1"/>
        <v>30158.333333333336</v>
      </c>
      <c r="F25" s="239">
        <f>C25-B25</f>
        <v>-905</v>
      </c>
      <c r="G25" s="238">
        <f>(F25/B25)*100</f>
        <v>-4.7631578947368425</v>
      </c>
      <c r="H25" s="208"/>
    </row>
    <row r="26" spans="1:8" ht="15">
      <c r="A26" s="218" t="s">
        <v>70</v>
      </c>
      <c r="B26" s="215">
        <v>2749</v>
      </c>
      <c r="C26" s="224">
        <v>5247</v>
      </c>
      <c r="D26" s="220">
        <f t="shared" si="0"/>
        <v>6996</v>
      </c>
      <c r="E26" s="220">
        <f t="shared" si="1"/>
        <v>8745</v>
      </c>
      <c r="F26" s="239">
        <f>C26-B26</f>
        <v>2498</v>
      </c>
      <c r="G26" s="238">
        <f>(F26/B26)*100</f>
        <v>90.869407057111673</v>
      </c>
      <c r="H26" s="208"/>
    </row>
    <row r="27" spans="1:8" ht="15">
      <c r="A27" s="218" t="s">
        <v>71</v>
      </c>
      <c r="B27" s="215">
        <v>10661</v>
      </c>
      <c r="C27" s="224">
        <v>11009</v>
      </c>
      <c r="D27" s="220">
        <f t="shared" si="0"/>
        <v>14678.666666666666</v>
      </c>
      <c r="E27" s="220">
        <f t="shared" si="1"/>
        <v>18348.333333333336</v>
      </c>
      <c r="F27" s="239">
        <f>C27-B27</f>
        <v>348</v>
      </c>
      <c r="G27" s="238">
        <f>(F27/B27)*100</f>
        <v>3.264234124378576</v>
      </c>
      <c r="H27" s="208"/>
    </row>
    <row r="28" spans="1:8" ht="15">
      <c r="A28" s="218" t="s">
        <v>72</v>
      </c>
      <c r="B28" s="215">
        <v>4067</v>
      </c>
      <c r="C28" s="224">
        <v>4152</v>
      </c>
      <c r="D28" s="220">
        <f t="shared" si="0"/>
        <v>5536</v>
      </c>
      <c r="E28" s="220">
        <f t="shared" si="1"/>
        <v>6920</v>
      </c>
      <c r="F28" s="239">
        <f>C28-B28</f>
        <v>85</v>
      </c>
      <c r="G28" s="238">
        <f>(F28/B28)*100</f>
        <v>2.0899926235554465</v>
      </c>
      <c r="H28" s="208"/>
    </row>
    <row r="29" spans="1:8" ht="15">
      <c r="A29" s="218" t="s">
        <v>73</v>
      </c>
      <c r="B29" s="215">
        <v>45538</v>
      </c>
      <c r="C29" s="224">
        <v>50901</v>
      </c>
      <c r="D29" s="220">
        <f t="shared" si="0"/>
        <v>67868</v>
      </c>
      <c r="E29" s="220">
        <f t="shared" si="1"/>
        <v>84835</v>
      </c>
      <c r="F29" s="239">
        <f>C29-B29</f>
        <v>5363</v>
      </c>
      <c r="G29" s="238">
        <f>(F29/B29)*100</f>
        <v>11.776977469366244</v>
      </c>
      <c r="H29" s="208"/>
    </row>
    <row r="30" spans="1:8" ht="15">
      <c r="A30" s="218" t="s">
        <v>74</v>
      </c>
      <c r="B30" s="215">
        <v>13067</v>
      </c>
      <c r="C30" s="224">
        <v>14745</v>
      </c>
      <c r="D30" s="220">
        <f t="shared" si="0"/>
        <v>19660</v>
      </c>
      <c r="E30" s="220">
        <f t="shared" si="1"/>
        <v>24575</v>
      </c>
      <c r="F30" s="239">
        <f>C30-B30</f>
        <v>1678</v>
      </c>
      <c r="G30" s="238">
        <f>(F30/B30)*100</f>
        <v>12.841509145174868</v>
      </c>
      <c r="H30" s="208"/>
    </row>
    <row r="31" spans="1:8" ht="15">
      <c r="A31" s="218" t="s">
        <v>75</v>
      </c>
      <c r="B31" s="222">
        <v>95082</v>
      </c>
      <c r="C31" s="223">
        <v>104149</v>
      </c>
      <c r="D31" s="220">
        <f t="shared" si="0"/>
        <v>138865.33333333331</v>
      </c>
      <c r="E31" s="220">
        <f t="shared" si="1"/>
        <v>173581.66666666669</v>
      </c>
      <c r="F31" s="239">
        <f>C31-B31</f>
        <v>9067</v>
      </c>
      <c r="G31" s="238">
        <f>(F31/B31)*100</f>
        <v>9.5359794703519078</v>
      </c>
      <c r="H31" s="208"/>
    </row>
    <row r="32" spans="1:8" ht="15">
      <c r="A32" s="217" t="s">
        <v>76</v>
      </c>
      <c r="B32" s="222">
        <v>47032</v>
      </c>
      <c r="C32" s="223">
        <v>41990</v>
      </c>
      <c r="D32" s="220">
        <f t="shared" si="0"/>
        <v>55986.666666666664</v>
      </c>
      <c r="E32" s="220">
        <f t="shared" si="1"/>
        <v>69983.333333333343</v>
      </c>
      <c r="F32" s="239">
        <f>C32-B32</f>
        <v>-5042</v>
      </c>
      <c r="G32" s="238">
        <f>(F32/B32)*100</f>
        <v>-10.72036060554516</v>
      </c>
      <c r="H32" s="208"/>
    </row>
    <row r="33" spans="1:8" ht="15">
      <c r="A33" s="217" t="s">
        <v>77</v>
      </c>
      <c r="B33" s="222">
        <v>26069</v>
      </c>
      <c r="C33" s="223">
        <v>25560</v>
      </c>
      <c r="D33" s="220">
        <f t="shared" si="0"/>
        <v>34080</v>
      </c>
      <c r="E33" s="220">
        <f t="shared" si="1"/>
        <v>42600</v>
      </c>
      <c r="F33" s="239">
        <f>C33-B33</f>
        <v>-509</v>
      </c>
      <c r="G33" s="238">
        <f>(F33/B33)*100</f>
        <v>-1.9525106448271892</v>
      </c>
      <c r="H33" s="208"/>
    </row>
    <row r="34" spans="1:8" ht="15">
      <c r="A34" s="217" t="s">
        <v>78</v>
      </c>
      <c r="B34" s="222">
        <v>2870</v>
      </c>
      <c r="C34" s="223">
        <v>2912</v>
      </c>
      <c r="D34" s="220">
        <f t="shared" si="0"/>
        <v>3882.6666666666665</v>
      </c>
      <c r="E34" s="220">
        <f t="shared" si="1"/>
        <v>4853.3333333333339</v>
      </c>
      <c r="F34" s="239">
        <f>C34-B34</f>
        <v>42</v>
      </c>
      <c r="G34" s="238">
        <f>(F34/B34)*100</f>
        <v>1.4634146341463417</v>
      </c>
      <c r="H34" s="208"/>
    </row>
    <row r="35" spans="1:8" ht="15">
      <c r="A35" s="217" t="s">
        <v>79</v>
      </c>
      <c r="B35" s="222">
        <v>230</v>
      </c>
      <c r="C35" s="223">
        <v>433</v>
      </c>
      <c r="D35" s="220">
        <f t="shared" si="0"/>
        <v>577.33333333333326</v>
      </c>
      <c r="E35" s="220">
        <f t="shared" si="1"/>
        <v>721.66666666666674</v>
      </c>
      <c r="F35" s="239">
        <f>C35-B35</f>
        <v>203</v>
      </c>
      <c r="G35" s="238">
        <f>(F35/B35)*100</f>
        <v>88.260869565217391</v>
      </c>
      <c r="H35" s="208"/>
    </row>
    <row r="36" spans="1:8" ht="15">
      <c r="A36" s="217" t="s">
        <v>80</v>
      </c>
      <c r="B36" s="222">
        <v>11489</v>
      </c>
      <c r="C36" s="223">
        <v>12728</v>
      </c>
      <c r="D36" s="220">
        <f t="shared" si="0"/>
        <v>16970.666666666664</v>
      </c>
      <c r="E36" s="220">
        <f t="shared" si="1"/>
        <v>21213.333333333336</v>
      </c>
      <c r="F36" s="239">
        <f>C36-B36</f>
        <v>1239</v>
      </c>
      <c r="G36" s="238">
        <f>(F36/B36)*100</f>
        <v>10.784228392375315</v>
      </c>
      <c r="H36" s="208"/>
    </row>
    <row r="37" spans="1:8" ht="15">
      <c r="A37" s="217" t="s">
        <v>81</v>
      </c>
      <c r="B37" s="215">
        <v>15526</v>
      </c>
      <c r="C37" s="224">
        <v>17981</v>
      </c>
      <c r="D37" s="220">
        <f t="shared" si="0"/>
        <v>23974.666666666664</v>
      </c>
      <c r="E37" s="220">
        <f t="shared" si="1"/>
        <v>29968.333333333336</v>
      </c>
      <c r="F37" s="239">
        <f>C37-B37</f>
        <v>2455</v>
      </c>
      <c r="G37" s="238">
        <f>(F37/B37)*100</f>
        <v>15.812186010562925</v>
      </c>
      <c r="H37" s="208"/>
    </row>
    <row r="38" spans="1:8" ht="15">
      <c r="A38" s="218" t="s">
        <v>82</v>
      </c>
      <c r="B38" s="222">
        <v>198298</v>
      </c>
      <c r="C38" s="223">
        <v>205753</v>
      </c>
      <c r="D38" s="220">
        <f t="shared" si="0"/>
        <v>274337.33333333331</v>
      </c>
      <c r="E38" s="220">
        <f t="shared" si="1"/>
        <v>342921.66666666669</v>
      </c>
      <c r="F38" s="239">
        <f>C38-B38</f>
        <v>7455</v>
      </c>
      <c r="G38" s="238">
        <f>(F38/B38)*100</f>
        <v>3.7594932878798573</v>
      </c>
      <c r="H38" s="208"/>
    </row>
    <row r="39" spans="1:8" ht="15">
      <c r="A39" s="217" t="s">
        <v>83</v>
      </c>
      <c r="B39" s="231"/>
      <c r="C39" s="232"/>
      <c r="D39" s="220"/>
      <c r="E39" s="220"/>
      <c r="F39" s="239"/>
      <c r="G39" s="238"/>
      <c r="H39" s="208"/>
    </row>
    <row r="40" spans="1:8" ht="15">
      <c r="A40" s="217" t="s">
        <v>84</v>
      </c>
      <c r="B40" s="229"/>
      <c r="C40" s="230"/>
      <c r="D40" s="220"/>
      <c r="E40" s="220"/>
      <c r="F40" s="239"/>
      <c r="G40" s="238"/>
      <c r="H40" s="208"/>
    </row>
    <row r="41" spans="1:8" ht="32.25" customHeight="1">
      <c r="A41" s="233" t="s">
        <v>296</v>
      </c>
      <c r="B41" s="222">
        <v>86939</v>
      </c>
      <c r="C41" s="223">
        <v>93718</v>
      </c>
      <c r="D41" s="220">
        <f t="shared" si="0"/>
        <v>124957.33333333333</v>
      </c>
      <c r="E41" s="220">
        <f t="shared" si="1"/>
        <v>156196.66666666669</v>
      </c>
      <c r="F41" s="239">
        <f>C41-B41</f>
        <v>6779</v>
      </c>
      <c r="G41" s="238">
        <f>(F41/B41)*100</f>
        <v>7.7974211803678442</v>
      </c>
      <c r="H41" s="208"/>
    </row>
    <row r="42" spans="1:8" ht="15">
      <c r="A42" s="233" t="s">
        <v>85</v>
      </c>
      <c r="B42" s="222">
        <v>84281</v>
      </c>
      <c r="C42" s="223">
        <v>118848</v>
      </c>
      <c r="D42" s="220">
        <f t="shared" si="0"/>
        <v>158464</v>
      </c>
      <c r="E42" s="220">
        <f t="shared" si="1"/>
        <v>198080</v>
      </c>
      <c r="F42" s="239">
        <f>C42-B42</f>
        <v>34567</v>
      </c>
      <c r="G42" s="238">
        <f>(F42/B42)*100</f>
        <v>41.013988918024232</v>
      </c>
      <c r="H42" s="208"/>
    </row>
    <row r="43" spans="1:8" ht="15">
      <c r="A43" s="234" t="s">
        <v>86</v>
      </c>
      <c r="B43" s="222">
        <v>-4678</v>
      </c>
      <c r="C43" s="223">
        <v>-6343</v>
      </c>
      <c r="D43" s="220">
        <f t="shared" si="0"/>
        <v>-8457.3333333333321</v>
      </c>
      <c r="E43" s="220">
        <f t="shared" si="1"/>
        <v>-10571.666666666668</v>
      </c>
      <c r="F43" s="239">
        <f>C43-B43</f>
        <v>-1665</v>
      </c>
      <c r="G43" s="238">
        <f>(F43/B43)*100</f>
        <v>35.59213339033775</v>
      </c>
      <c r="H43" s="208"/>
    </row>
    <row r="44" spans="1:8" ht="15">
      <c r="A44" s="234" t="s">
        <v>87</v>
      </c>
      <c r="B44" s="222">
        <v>166542</v>
      </c>
      <c r="C44" s="223">
        <v>206223</v>
      </c>
      <c r="D44" s="220">
        <f t="shared" si="0"/>
        <v>274964</v>
      </c>
      <c r="E44" s="220">
        <f t="shared" si="1"/>
        <v>343705</v>
      </c>
      <c r="F44" s="239">
        <f>C44-B44</f>
        <v>39681</v>
      </c>
      <c r="G44" s="238">
        <f>(F44/B44)*100</f>
        <v>23.826422163778506</v>
      </c>
      <c r="H44" s="208"/>
    </row>
    <row r="45" spans="1:8" ht="15">
      <c r="A45" s="218" t="s">
        <v>88</v>
      </c>
      <c r="B45" s="227">
        <v>364840</v>
      </c>
      <c r="C45" s="228">
        <v>411976</v>
      </c>
      <c r="D45" s="220">
        <f t="shared" si="0"/>
        <v>549301.33333333326</v>
      </c>
      <c r="E45" s="220">
        <f t="shared" si="1"/>
        <v>686626.66666666674</v>
      </c>
      <c r="F45" s="239">
        <f>C45-B45</f>
        <v>47136</v>
      </c>
      <c r="G45" s="238">
        <f>(F45/B45)*100</f>
        <v>12.919636004824032</v>
      </c>
      <c r="H45" s="208"/>
    </row>
    <row r="46" spans="1:8" ht="15">
      <c r="A46" s="217"/>
      <c r="B46" s="235"/>
      <c r="C46" s="235"/>
      <c r="D46" s="235"/>
      <c r="E46" s="235"/>
      <c r="F46" s="208"/>
      <c r="G46" s="208"/>
      <c r="H46" s="208"/>
    </row>
    <row r="47" spans="1:8" ht="15">
      <c r="A47" s="236"/>
      <c r="B47" s="206"/>
      <c r="C47" s="206"/>
      <c r="D47" s="206"/>
      <c r="E47" s="206"/>
      <c r="F47" s="208"/>
      <c r="G47" s="208"/>
      <c r="H47" s="208"/>
    </row>
    <row r="48" spans="1:8" ht="15">
      <c r="A48" s="208"/>
      <c r="B48" s="206"/>
      <c r="C48" s="206"/>
      <c r="D48" s="206"/>
      <c r="E48" s="206"/>
      <c r="F48" s="208"/>
      <c r="G48" s="208"/>
      <c r="H48" s="208"/>
    </row>
  </sheetData>
  <phoneticPr fontId="49" type="noConversion"/>
  <hyperlinks>
    <hyperlink ref="H1" location="Splash!A1" display="Back to Main"/>
  </hyperlinks>
  <pageMargins left="0.7" right="0.7" top="0.75" bottom="0.75" header="0.3" footer="0.3"/>
  <pageSetup orientation="portrait" r:id="rId1"/>
  <ignoredErrors>
    <ignoredError sqref="D9:E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1"/>
  <sheetViews>
    <sheetView topLeftCell="A19" workbookViewId="0">
      <selection activeCell="N48" sqref="N48"/>
    </sheetView>
  </sheetViews>
  <sheetFormatPr defaultRowHeight="14.4"/>
  <cols>
    <col min="1" max="1" width="27" customWidth="1"/>
    <col min="2" max="2" width="18" customWidth="1"/>
    <col min="3" max="3" width="17" customWidth="1"/>
    <col min="4" max="4" width="19.88671875" customWidth="1"/>
    <col min="5" max="5" width="17.33203125" customWidth="1"/>
  </cols>
  <sheetData>
    <row r="3" spans="1:5" ht="28.8">
      <c r="A3" s="198" t="s">
        <v>250</v>
      </c>
      <c r="B3" s="198" t="s">
        <v>251</v>
      </c>
      <c r="C3" s="198" t="s">
        <v>252</v>
      </c>
      <c r="D3" s="198" t="s">
        <v>253</v>
      </c>
      <c r="E3" s="198" t="s">
        <v>254</v>
      </c>
    </row>
    <row r="4" spans="1:5">
      <c r="A4" s="200" t="s">
        <v>53</v>
      </c>
      <c r="B4" s="199"/>
      <c r="C4" s="199"/>
      <c r="D4" s="199"/>
      <c r="E4" s="199"/>
    </row>
    <row r="5" spans="1:5">
      <c r="A5" s="199" t="s">
        <v>255</v>
      </c>
      <c r="B5" s="201">
        <v>13931</v>
      </c>
      <c r="C5" s="201">
        <v>34704</v>
      </c>
      <c r="D5" s="202">
        <v>3.8199999999999998E-2</v>
      </c>
      <c r="E5" s="202">
        <v>8.4199999999999997E-2</v>
      </c>
    </row>
    <row r="6" spans="1:5">
      <c r="A6" s="199" t="s">
        <v>256</v>
      </c>
      <c r="B6" s="201">
        <v>90826</v>
      </c>
      <c r="C6" s="201">
        <v>76558</v>
      </c>
      <c r="D6" s="202">
        <v>0.249</v>
      </c>
      <c r="E6" s="202">
        <v>0.186</v>
      </c>
    </row>
    <row r="7" spans="1:5" ht="28.8">
      <c r="A7" s="200" t="s">
        <v>257</v>
      </c>
      <c r="B7" s="201">
        <v>104757</v>
      </c>
      <c r="C7" s="201">
        <v>111262</v>
      </c>
      <c r="D7" s="202">
        <v>0.28720000000000001</v>
      </c>
      <c r="E7" s="202">
        <v>0.27010000000000001</v>
      </c>
    </row>
    <row r="8" spans="1:5">
      <c r="A8" s="199" t="s">
        <v>258</v>
      </c>
      <c r="B8" s="201">
        <v>44261</v>
      </c>
      <c r="C8" s="201">
        <v>48688</v>
      </c>
      <c r="D8" s="202">
        <v>0.12130000000000001</v>
      </c>
      <c r="E8" s="202">
        <v>0.1182</v>
      </c>
    </row>
    <row r="9" spans="1:5">
      <c r="A9" s="199" t="s">
        <v>259</v>
      </c>
      <c r="B9" s="201">
        <v>3742</v>
      </c>
      <c r="C9" s="201">
        <v>2500</v>
      </c>
      <c r="D9" s="202">
        <v>1.03E-2</v>
      </c>
      <c r="E9" s="202">
        <v>6.1000000000000004E-3</v>
      </c>
    </row>
    <row r="10" spans="1:5">
      <c r="A10" s="199" t="s">
        <v>260</v>
      </c>
      <c r="B10" s="201">
        <v>16924</v>
      </c>
      <c r="C10" s="201">
        <v>21807</v>
      </c>
      <c r="D10" s="202">
        <v>4.6399999999999997E-2</v>
      </c>
      <c r="E10" s="202">
        <v>5.2900000000000003E-2</v>
      </c>
    </row>
    <row r="11" spans="1:5">
      <c r="A11" s="200" t="s">
        <v>261</v>
      </c>
      <c r="B11" s="201">
        <v>169684</v>
      </c>
      <c r="C11" s="201">
        <v>184257</v>
      </c>
      <c r="D11" s="202">
        <v>0.4652</v>
      </c>
      <c r="E11" s="202">
        <v>0.44719999999999999</v>
      </c>
    </row>
    <row r="12" spans="1:5">
      <c r="A12" s="199" t="s">
        <v>262</v>
      </c>
      <c r="B12" s="201">
        <v>74398</v>
      </c>
      <c r="C12" s="201">
        <v>95641</v>
      </c>
      <c r="D12" s="202">
        <v>0.2039</v>
      </c>
      <c r="E12" s="202">
        <v>0.23230000000000001</v>
      </c>
    </row>
    <row r="13" spans="1:5" ht="28.8">
      <c r="A13" s="199" t="s">
        <v>263</v>
      </c>
      <c r="B13" s="201">
        <v>13148</v>
      </c>
      <c r="C13" s="201">
        <v>14346</v>
      </c>
      <c r="D13" s="202">
        <v>3.61E-2</v>
      </c>
      <c r="E13" s="202">
        <v>3.4799999999999998E-2</v>
      </c>
    </row>
    <row r="14" spans="1:5">
      <c r="A14" s="199" t="s">
        <v>264</v>
      </c>
      <c r="B14" s="201">
        <v>6891</v>
      </c>
      <c r="C14" s="201">
        <v>9879</v>
      </c>
      <c r="D14" s="202">
        <v>1.89E-2</v>
      </c>
      <c r="E14" s="202">
        <v>2.4E-2</v>
      </c>
    </row>
    <row r="15" spans="1:5">
      <c r="A15" s="199" t="s">
        <v>63</v>
      </c>
      <c r="B15" s="201">
        <v>67524</v>
      </c>
      <c r="C15" s="201">
        <v>67886</v>
      </c>
      <c r="D15" s="202">
        <v>0.1852</v>
      </c>
      <c r="E15" s="202">
        <v>0.1648</v>
      </c>
    </row>
    <row r="16" spans="1:5">
      <c r="A16" s="199" t="s">
        <v>265</v>
      </c>
      <c r="B16" s="201">
        <v>11298</v>
      </c>
      <c r="C16" s="201">
        <v>9366</v>
      </c>
      <c r="D16" s="202">
        <v>3.1E-2</v>
      </c>
      <c r="E16" s="202">
        <v>2.2700000000000001E-2</v>
      </c>
    </row>
    <row r="17" spans="1:5">
      <c r="A17" s="199" t="s">
        <v>266</v>
      </c>
      <c r="B17" s="201">
        <v>21897</v>
      </c>
      <c r="C17" s="201">
        <v>30601</v>
      </c>
      <c r="D17" s="202">
        <v>0.06</v>
      </c>
      <c r="E17" s="202">
        <v>7.4300000000000005E-2</v>
      </c>
    </row>
    <row r="18" spans="1:5">
      <c r="A18" s="200" t="s">
        <v>267</v>
      </c>
      <c r="B18" s="203">
        <v>364840</v>
      </c>
      <c r="C18" s="203">
        <v>411976</v>
      </c>
      <c r="D18" s="204">
        <v>1</v>
      </c>
      <c r="E18" s="204">
        <v>1</v>
      </c>
    </row>
    <row r="19" spans="1:5" ht="28.8">
      <c r="A19" s="198" t="s">
        <v>268</v>
      </c>
      <c r="B19" s="198" t="s">
        <v>251</v>
      </c>
      <c r="C19" s="198" t="s">
        <v>252</v>
      </c>
      <c r="D19" s="198" t="s">
        <v>253</v>
      </c>
      <c r="E19" s="198" t="s">
        <v>254</v>
      </c>
    </row>
    <row r="20" spans="1:5">
      <c r="A20" s="200" t="s">
        <v>269</v>
      </c>
      <c r="B20" s="199"/>
      <c r="C20" s="199"/>
      <c r="D20" s="199"/>
      <c r="E20" s="199"/>
    </row>
    <row r="21" spans="1:5">
      <c r="A21" s="199" t="s">
        <v>270</v>
      </c>
      <c r="B21" s="201">
        <v>19000</v>
      </c>
      <c r="C21" s="201">
        <v>18095</v>
      </c>
      <c r="D21" s="202">
        <v>5.21E-2</v>
      </c>
      <c r="E21" s="202">
        <v>4.3900000000000002E-2</v>
      </c>
    </row>
    <row r="22" spans="1:5" ht="28.8">
      <c r="A22" s="199" t="s">
        <v>271</v>
      </c>
      <c r="B22" s="201">
        <v>2749</v>
      </c>
      <c r="C22" s="201">
        <v>5247</v>
      </c>
      <c r="D22" s="202">
        <v>7.4999999999999997E-3</v>
      </c>
      <c r="E22" s="202">
        <v>1.2699999999999999E-2</v>
      </c>
    </row>
    <row r="23" spans="1:5">
      <c r="A23" s="199" t="s">
        <v>272</v>
      </c>
      <c r="B23" s="201">
        <v>10661</v>
      </c>
      <c r="C23" s="201">
        <v>11009</v>
      </c>
      <c r="D23" s="202">
        <v>2.92E-2</v>
      </c>
      <c r="E23" s="202">
        <v>2.6700000000000002E-2</v>
      </c>
    </row>
    <row r="24" spans="1:5">
      <c r="A24" s="199" t="s">
        <v>273</v>
      </c>
      <c r="B24" s="201">
        <v>4067</v>
      </c>
      <c r="C24" s="201">
        <v>4152</v>
      </c>
      <c r="D24" s="202">
        <v>1.12E-2</v>
      </c>
      <c r="E24" s="202">
        <v>1.01E-2</v>
      </c>
    </row>
    <row r="25" spans="1:5">
      <c r="A25" s="199" t="s">
        <v>274</v>
      </c>
      <c r="B25" s="201">
        <v>45538</v>
      </c>
      <c r="C25" s="201">
        <v>50901</v>
      </c>
      <c r="D25" s="202">
        <v>0.12479999999999999</v>
      </c>
      <c r="E25" s="202">
        <v>0.1236</v>
      </c>
    </row>
    <row r="26" spans="1:5">
      <c r="A26" s="199" t="s">
        <v>275</v>
      </c>
      <c r="B26" s="201">
        <v>13067</v>
      </c>
      <c r="C26" s="201">
        <v>14745</v>
      </c>
      <c r="D26" s="202">
        <v>3.5799999999999998E-2</v>
      </c>
      <c r="E26" s="202">
        <v>3.5799999999999998E-2</v>
      </c>
    </row>
    <row r="27" spans="1:5">
      <c r="A27" s="200" t="s">
        <v>276</v>
      </c>
      <c r="B27" s="203">
        <v>95082</v>
      </c>
      <c r="C27" s="203">
        <v>104149</v>
      </c>
      <c r="D27" s="204">
        <v>0.26069999999999999</v>
      </c>
      <c r="E27" s="204">
        <v>0.25290000000000001</v>
      </c>
    </row>
    <row r="28" spans="1:5">
      <c r="A28" s="200" t="s">
        <v>277</v>
      </c>
      <c r="B28" s="199"/>
      <c r="C28" s="199"/>
      <c r="D28" s="199"/>
      <c r="E28" s="199"/>
    </row>
    <row r="29" spans="1:5">
      <c r="A29" s="199" t="s">
        <v>278</v>
      </c>
      <c r="B29" s="201">
        <v>47032</v>
      </c>
      <c r="C29" s="201">
        <v>41990</v>
      </c>
      <c r="D29" s="202">
        <v>0.12889999999999999</v>
      </c>
      <c r="E29" s="202">
        <v>0.1019</v>
      </c>
    </row>
    <row r="30" spans="1:5">
      <c r="A30" s="199" t="s">
        <v>279</v>
      </c>
      <c r="B30" s="201">
        <v>26069</v>
      </c>
      <c r="C30" s="201">
        <v>25560</v>
      </c>
      <c r="D30" s="202">
        <v>7.1499999999999994E-2</v>
      </c>
      <c r="E30" s="202">
        <v>6.2100000000000002E-2</v>
      </c>
    </row>
    <row r="31" spans="1:5">
      <c r="A31" s="199" t="s">
        <v>280</v>
      </c>
      <c r="B31" s="201">
        <v>2870</v>
      </c>
      <c r="C31" s="201">
        <v>2912</v>
      </c>
      <c r="D31" s="202">
        <v>7.9000000000000008E-3</v>
      </c>
      <c r="E31" s="202">
        <v>7.1000000000000004E-3</v>
      </c>
    </row>
    <row r="32" spans="1:5">
      <c r="A32" s="199" t="s">
        <v>281</v>
      </c>
      <c r="B32" s="199">
        <v>230</v>
      </c>
      <c r="C32" s="199">
        <v>433</v>
      </c>
      <c r="D32" s="202">
        <v>5.9999999999999995E-4</v>
      </c>
      <c r="E32" s="202">
        <v>1.1000000000000001E-3</v>
      </c>
    </row>
    <row r="33" spans="1:5">
      <c r="A33" s="199" t="s">
        <v>282</v>
      </c>
      <c r="B33" s="201">
        <v>11489</v>
      </c>
      <c r="C33" s="201">
        <v>12728</v>
      </c>
      <c r="D33" s="202">
        <v>3.15E-2</v>
      </c>
      <c r="E33" s="202">
        <v>3.09E-2</v>
      </c>
    </row>
    <row r="34" spans="1:5">
      <c r="A34" s="199" t="s">
        <v>283</v>
      </c>
      <c r="B34" s="201">
        <v>15526</v>
      </c>
      <c r="C34" s="201">
        <v>17981</v>
      </c>
      <c r="D34" s="202">
        <v>4.2599999999999999E-2</v>
      </c>
      <c r="E34" s="202">
        <v>4.3700000000000003E-2</v>
      </c>
    </row>
    <row r="35" spans="1:5">
      <c r="A35" s="200" t="s">
        <v>284</v>
      </c>
      <c r="B35" s="203">
        <v>198298</v>
      </c>
      <c r="C35" s="203">
        <v>205753</v>
      </c>
      <c r="D35" s="204">
        <v>0.54369999999999996</v>
      </c>
      <c r="E35" s="204">
        <v>0.49959999999999999</v>
      </c>
    </row>
    <row r="36" spans="1:5">
      <c r="A36" s="200" t="s">
        <v>285</v>
      </c>
      <c r="B36" s="199"/>
      <c r="C36" s="199"/>
      <c r="D36" s="199"/>
      <c r="E36" s="199"/>
    </row>
    <row r="37" spans="1:5" ht="28.8">
      <c r="A37" s="199" t="s">
        <v>286</v>
      </c>
      <c r="B37" s="201">
        <v>86939</v>
      </c>
      <c r="C37" s="201">
        <v>93718</v>
      </c>
      <c r="D37" s="202">
        <v>0.2384</v>
      </c>
      <c r="E37" s="202">
        <v>0.22750000000000001</v>
      </c>
    </row>
    <row r="38" spans="1:5">
      <c r="A38" s="199" t="s">
        <v>287</v>
      </c>
      <c r="B38" s="201">
        <v>84281</v>
      </c>
      <c r="C38" s="201">
        <v>118848</v>
      </c>
      <c r="D38" s="202">
        <v>0.23100000000000001</v>
      </c>
      <c r="E38" s="202">
        <v>0.28860000000000002</v>
      </c>
    </row>
    <row r="39" spans="1:5" ht="28.8">
      <c r="A39" s="199" t="s">
        <v>288</v>
      </c>
      <c r="B39" s="201">
        <v>-4678</v>
      </c>
      <c r="C39" s="201">
        <v>-6343</v>
      </c>
      <c r="D39" s="202">
        <v>-1.2800000000000001E-2</v>
      </c>
      <c r="E39" s="202">
        <v>-1.54E-2</v>
      </c>
    </row>
    <row r="40" spans="1:5">
      <c r="A40" s="200" t="s">
        <v>289</v>
      </c>
      <c r="B40" s="203">
        <v>166542</v>
      </c>
      <c r="C40" s="203">
        <v>206223</v>
      </c>
      <c r="D40" s="204">
        <v>0.45629999999999998</v>
      </c>
      <c r="E40" s="204">
        <v>0.50039999999999996</v>
      </c>
    </row>
    <row r="41" spans="1:5" ht="28.8">
      <c r="A41" s="200" t="s">
        <v>290</v>
      </c>
      <c r="B41" s="203">
        <v>364840</v>
      </c>
      <c r="C41" s="203">
        <v>411976</v>
      </c>
      <c r="D41" s="204">
        <v>1</v>
      </c>
      <c r="E41" s="20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0"/>
  <sheetViews>
    <sheetView showGridLines="0" workbookViewId="0">
      <selection activeCell="B2" sqref="B2:E2"/>
    </sheetView>
  </sheetViews>
  <sheetFormatPr defaultColWidth="9" defaultRowHeight="15"/>
  <cols>
    <col min="1" max="1" width="9" style="3"/>
    <col min="2" max="2" width="34" style="3" bestFit="1" customWidth="1"/>
    <col min="3" max="4" width="1.88671875" style="3" customWidth="1"/>
    <col min="5" max="5" width="39" style="3" bestFit="1" customWidth="1"/>
    <col min="6" max="16384" width="9" style="3"/>
  </cols>
  <sheetData>
    <row r="1" spans="1:5" ht="15.6" thickBot="1">
      <c r="A1" s="2"/>
      <c r="B1" s="2"/>
      <c r="C1" s="2"/>
      <c r="D1" s="2"/>
      <c r="E1" s="2"/>
    </row>
    <row r="2" spans="1:5" ht="20.399999999999999">
      <c r="A2" s="2"/>
      <c r="B2" s="240" t="s">
        <v>0</v>
      </c>
      <c r="C2" s="241"/>
      <c r="D2" s="241"/>
      <c r="E2" s="242"/>
    </row>
    <row r="3" spans="1:5">
      <c r="A3" s="2"/>
      <c r="B3" s="250"/>
      <c r="C3" s="251"/>
      <c r="D3" s="251"/>
      <c r="E3" s="252"/>
    </row>
    <row r="4" spans="1:5">
      <c r="A4" s="2"/>
      <c r="B4" s="243" t="s">
        <v>1</v>
      </c>
      <c r="C4" s="244"/>
      <c r="D4" s="244"/>
      <c r="E4" s="245"/>
    </row>
    <row r="5" spans="1:5">
      <c r="A5" s="2"/>
      <c r="B5" s="246"/>
      <c r="C5" s="244"/>
      <c r="D5" s="244"/>
      <c r="E5" s="245"/>
    </row>
    <row r="6" spans="1:5">
      <c r="A6" s="2"/>
      <c r="B6" s="246"/>
      <c r="C6" s="244"/>
      <c r="D6" s="244"/>
      <c r="E6" s="245"/>
    </row>
    <row r="7" spans="1:5" ht="15.6" thickBot="1">
      <c r="A7" s="2"/>
      <c r="B7" s="247"/>
      <c r="C7" s="248"/>
      <c r="D7" s="248"/>
      <c r="E7" s="249"/>
    </row>
    <row r="8" spans="1:5">
      <c r="A8" s="2"/>
      <c r="B8" s="2"/>
      <c r="C8" s="2"/>
      <c r="D8" s="2"/>
      <c r="E8" s="2"/>
    </row>
    <row r="9" spans="1:5">
      <c r="A9" s="2"/>
      <c r="B9" s="113" t="s">
        <v>2</v>
      </c>
      <c r="C9" s="2"/>
      <c r="D9" s="2"/>
      <c r="E9" s="113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.6" thickBot="1"/>
    <row r="20" spans="1:5" ht="52.5" customHeight="1" thickBot="1">
      <c r="B20" s="253" t="s">
        <v>15</v>
      </c>
      <c r="C20" s="254"/>
      <c r="D20" s="254"/>
      <c r="E20" s="255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 Statements"/>
    <hyperlink ref="B14" location="'Segment Revenue &amp; OI'!A1" display="Segment Revenue &amp; Operating Income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  <hyperlink ref="E14" location="'Return of Cash to Shareholders'!A1" display="Return of Cash to Shareholders"/>
    <hyperlink ref="E15" location="CapEx!A1" display="Capital Expenditure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2"/>
  <sheetViews>
    <sheetView showGridLines="0" workbookViewId="0"/>
  </sheetViews>
  <sheetFormatPr defaultColWidth="9" defaultRowHeight="15"/>
  <cols>
    <col min="1" max="1" width="37.5546875" style="7" customWidth="1"/>
    <col min="2" max="2" width="9.88671875" style="22" customWidth="1"/>
    <col min="3" max="3" width="0.44140625" style="22" customWidth="1"/>
    <col min="4" max="4" width="8.88671875" style="22" customWidth="1"/>
    <col min="5" max="5" width="0.44140625" style="22" customWidth="1"/>
    <col min="6" max="6" width="10.6640625" style="7" customWidth="1"/>
    <col min="7" max="7" width="0.44140625" style="7" customWidth="1"/>
    <col min="8" max="8" width="8.88671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56" t="s">
        <v>18</v>
      </c>
      <c r="B3" s="256"/>
      <c r="C3" s="256"/>
      <c r="D3" s="256"/>
      <c r="E3" s="256"/>
      <c r="F3" s="256"/>
      <c r="G3" s="256"/>
      <c r="H3" s="256"/>
      <c r="I3" s="6"/>
      <c r="J3" s="6"/>
      <c r="K3" s="6"/>
    </row>
    <row r="4" spans="1:11">
      <c r="A4" s="256" t="s">
        <v>19</v>
      </c>
      <c r="B4" s="256"/>
      <c r="C4" s="256"/>
      <c r="D4" s="256"/>
      <c r="E4" s="256"/>
      <c r="F4" s="256"/>
      <c r="G4" s="256"/>
      <c r="H4" s="256"/>
      <c r="I4" s="6"/>
      <c r="J4" s="6"/>
      <c r="K4" s="6"/>
    </row>
    <row r="5" spans="1:11">
      <c r="A5" s="193"/>
      <c r="B5" s="193"/>
      <c r="C5" s="193"/>
      <c r="D5" s="193"/>
      <c r="E5" s="193"/>
      <c r="F5" s="193"/>
      <c r="G5" s="193"/>
      <c r="H5" s="193"/>
      <c r="I5" s="6"/>
      <c r="J5" s="6"/>
      <c r="K5" s="6"/>
    </row>
    <row r="6" spans="1:11">
      <c r="A6" s="6"/>
      <c r="B6" s="257" t="s">
        <v>20</v>
      </c>
      <c r="C6" s="257"/>
      <c r="D6" s="257"/>
      <c r="E6" s="194"/>
      <c r="F6" s="257" t="s">
        <v>21</v>
      </c>
      <c r="G6" s="257"/>
      <c r="H6" s="257"/>
      <c r="I6" s="6"/>
      <c r="J6" s="6"/>
      <c r="K6" s="6"/>
    </row>
    <row r="7" spans="1:11">
      <c r="A7" s="4"/>
      <c r="B7" s="257"/>
      <c r="C7" s="257"/>
      <c r="D7" s="257"/>
      <c r="E7" s="194"/>
      <c r="F7" s="257"/>
      <c r="G7" s="257"/>
      <c r="H7" s="257"/>
      <c r="I7" s="6"/>
      <c r="J7" s="6"/>
      <c r="K7" s="6"/>
    </row>
    <row r="8" spans="1:11">
      <c r="A8" s="8"/>
      <c r="B8" s="9">
        <v>2023</v>
      </c>
      <c r="C8" s="9"/>
      <c r="D8" s="9">
        <v>2022</v>
      </c>
      <c r="E8" s="9"/>
      <c r="F8" s="9">
        <v>2023</v>
      </c>
      <c r="G8" s="9"/>
      <c r="H8" s="9">
        <v>2022</v>
      </c>
      <c r="I8" s="6"/>
      <c r="J8" s="6"/>
      <c r="K8" s="6"/>
    </row>
    <row r="9" spans="1:11">
      <c r="A9" s="6" t="s">
        <v>22</v>
      </c>
      <c r="B9" s="7"/>
      <c r="C9" s="7"/>
      <c r="D9" s="7"/>
      <c r="E9" s="7"/>
      <c r="I9" s="6"/>
      <c r="J9" s="6"/>
      <c r="K9" s="6"/>
    </row>
    <row r="10" spans="1:11">
      <c r="A10" s="6" t="s">
        <v>23</v>
      </c>
      <c r="B10" s="135">
        <v>16853</v>
      </c>
      <c r="C10" s="135"/>
      <c r="D10" s="136">
        <v>17956</v>
      </c>
      <c r="E10" s="136"/>
      <c r="F10" s="135">
        <v>64699</v>
      </c>
      <c r="G10" s="135"/>
      <c r="H10" s="136">
        <v>72732</v>
      </c>
      <c r="I10" s="6"/>
      <c r="J10" s="6"/>
      <c r="K10" s="6"/>
    </row>
    <row r="11" spans="1:11">
      <c r="A11" s="114" t="s">
        <v>24</v>
      </c>
      <c r="B11" s="16">
        <v>39336</v>
      </c>
      <c r="C11" s="16"/>
      <c r="D11" s="23">
        <v>33909</v>
      </c>
      <c r="E11" s="23"/>
      <c r="F11" s="16">
        <v>147216</v>
      </c>
      <c r="G11" s="16"/>
      <c r="H11" s="23">
        <v>125538</v>
      </c>
      <c r="I11" s="6"/>
      <c r="J11" s="6"/>
      <c r="K11" s="6"/>
    </row>
    <row r="12" spans="1:11">
      <c r="A12" s="165" t="s">
        <v>25</v>
      </c>
      <c r="B12" s="18">
        <v>56189</v>
      </c>
      <c r="C12" s="18"/>
      <c r="D12" s="166">
        <v>51865</v>
      </c>
      <c r="E12" s="23"/>
      <c r="F12" s="16">
        <v>211915</v>
      </c>
      <c r="G12" s="16"/>
      <c r="H12" s="23">
        <v>198270</v>
      </c>
      <c r="I12" s="6"/>
      <c r="J12" s="6"/>
      <c r="K12" s="6"/>
    </row>
    <row r="13" spans="1:11">
      <c r="A13" s="25" t="s">
        <v>26</v>
      </c>
      <c r="B13" s="12"/>
      <c r="C13" s="12"/>
      <c r="D13" s="13"/>
      <c r="E13" s="13"/>
      <c r="F13" s="12"/>
      <c r="G13" s="12"/>
      <c r="H13" s="13"/>
      <c r="I13" s="6"/>
      <c r="J13" s="6"/>
      <c r="K13" s="6"/>
    </row>
    <row r="14" spans="1:11">
      <c r="A14" s="25" t="s">
        <v>23</v>
      </c>
      <c r="B14" s="12">
        <v>3871</v>
      </c>
      <c r="C14" s="12"/>
      <c r="D14" s="13">
        <v>4357</v>
      </c>
      <c r="E14" s="13"/>
      <c r="F14" s="12">
        <v>17804</v>
      </c>
      <c r="G14" s="12"/>
      <c r="H14" s="13">
        <v>19064</v>
      </c>
      <c r="I14" s="6"/>
      <c r="J14" s="6"/>
      <c r="K14" s="6"/>
    </row>
    <row r="15" spans="1:11">
      <c r="A15" s="114" t="s">
        <v>24</v>
      </c>
      <c r="B15" s="16">
        <v>12924</v>
      </c>
      <c r="C15" s="16"/>
      <c r="D15" s="23">
        <v>12072</v>
      </c>
      <c r="E15" s="23"/>
      <c r="F15" s="16">
        <v>48059</v>
      </c>
      <c r="G15" s="16"/>
      <c r="H15" s="23">
        <v>43586</v>
      </c>
      <c r="I15" s="6"/>
      <c r="J15" s="6"/>
      <c r="K15" s="6"/>
    </row>
    <row r="16" spans="1:11">
      <c r="A16" s="165" t="s">
        <v>27</v>
      </c>
      <c r="B16" s="18">
        <v>16795</v>
      </c>
      <c r="C16" s="18"/>
      <c r="D16" s="166">
        <v>16429</v>
      </c>
      <c r="E16" s="166"/>
      <c r="F16" s="18">
        <v>65863</v>
      </c>
      <c r="G16" s="18"/>
      <c r="H16" s="166">
        <v>62650</v>
      </c>
      <c r="I16" s="6"/>
      <c r="J16" s="6"/>
      <c r="K16" s="6"/>
    </row>
    <row r="17" spans="1:11">
      <c r="A17" s="25" t="s">
        <v>28</v>
      </c>
      <c r="B17" s="12">
        <v>39394</v>
      </c>
      <c r="C17" s="12"/>
      <c r="D17" s="13">
        <v>35436</v>
      </c>
      <c r="E17" s="13"/>
      <c r="F17" s="12">
        <v>146052</v>
      </c>
      <c r="G17" s="12"/>
      <c r="H17" s="13">
        <v>135620</v>
      </c>
      <c r="I17" s="6"/>
      <c r="J17" s="6"/>
      <c r="K17" s="6"/>
    </row>
    <row r="18" spans="1:11">
      <c r="A18" s="25" t="s">
        <v>29</v>
      </c>
      <c r="B18" s="12">
        <v>6739</v>
      </c>
      <c r="C18" s="12"/>
      <c r="D18" s="13">
        <v>6849</v>
      </c>
      <c r="E18" s="13"/>
      <c r="F18" s="12">
        <v>27195</v>
      </c>
      <c r="G18" s="12"/>
      <c r="H18" s="13">
        <v>24512</v>
      </c>
      <c r="I18" s="6"/>
      <c r="J18" s="6"/>
      <c r="K18" s="6"/>
    </row>
    <row r="19" spans="1:11">
      <c r="A19" s="25" t="s">
        <v>30</v>
      </c>
      <c r="B19" s="12">
        <v>6204</v>
      </c>
      <c r="C19" s="12"/>
      <c r="D19" s="13">
        <v>6304</v>
      </c>
      <c r="E19" s="13"/>
      <c r="F19" s="12">
        <v>22759</v>
      </c>
      <c r="G19" s="12"/>
      <c r="H19" s="13">
        <v>21825</v>
      </c>
      <c r="I19" s="6"/>
      <c r="J19" s="6"/>
      <c r="K19" s="6"/>
    </row>
    <row r="20" spans="1:11">
      <c r="A20" s="25" t="s">
        <v>31</v>
      </c>
      <c r="B20" s="12">
        <v>2197</v>
      </c>
      <c r="C20" s="12"/>
      <c r="D20" s="15">
        <v>1749</v>
      </c>
      <c r="E20" s="15"/>
      <c r="F20" s="12">
        <v>7575</v>
      </c>
      <c r="G20" s="12"/>
      <c r="H20" s="15">
        <v>5900</v>
      </c>
      <c r="I20" s="6"/>
      <c r="J20" s="6"/>
      <c r="K20" s="6"/>
    </row>
    <row r="21" spans="1:11">
      <c r="A21" s="124" t="s">
        <v>32</v>
      </c>
      <c r="B21" s="125">
        <v>24254</v>
      </c>
      <c r="C21" s="125"/>
      <c r="D21" s="126">
        <v>20534</v>
      </c>
      <c r="E21" s="126"/>
      <c r="F21" s="125">
        <v>88523</v>
      </c>
      <c r="G21" s="125"/>
      <c r="H21" s="126">
        <v>83383</v>
      </c>
      <c r="I21" s="6"/>
      <c r="J21" s="6"/>
      <c r="K21" s="6"/>
    </row>
    <row r="22" spans="1:11">
      <c r="A22" s="19" t="s">
        <v>33</v>
      </c>
      <c r="B22" s="16">
        <v>473</v>
      </c>
      <c r="C22" s="16"/>
      <c r="D22" s="17">
        <v>-47</v>
      </c>
      <c r="E22" s="17"/>
      <c r="F22" s="16">
        <v>788</v>
      </c>
      <c r="G22" s="16"/>
      <c r="H22" s="17">
        <v>333</v>
      </c>
      <c r="I22" s="6"/>
      <c r="J22" s="6"/>
      <c r="K22" s="6"/>
    </row>
    <row r="23" spans="1:11">
      <c r="A23" s="6" t="s">
        <v>34</v>
      </c>
      <c r="B23" s="12">
        <v>24727</v>
      </c>
      <c r="C23" s="12"/>
      <c r="D23" s="14">
        <v>20487</v>
      </c>
      <c r="E23" s="14"/>
      <c r="F23" s="12">
        <v>89311</v>
      </c>
      <c r="G23" s="12"/>
      <c r="H23" s="14">
        <v>83716</v>
      </c>
      <c r="I23" s="6"/>
      <c r="J23" s="6"/>
      <c r="K23" s="6"/>
    </row>
    <row r="24" spans="1:11">
      <c r="A24" s="19" t="s">
        <v>35</v>
      </c>
      <c r="B24" s="16">
        <v>4646</v>
      </c>
      <c r="C24" s="16"/>
      <c r="D24" s="17">
        <v>3747</v>
      </c>
      <c r="E24" s="17"/>
      <c r="F24" s="16">
        <v>16950</v>
      </c>
      <c r="G24" s="16"/>
      <c r="H24" s="20">
        <v>10978</v>
      </c>
      <c r="I24" s="6"/>
      <c r="J24" s="6"/>
      <c r="K24" s="6"/>
    </row>
    <row r="25" spans="1:11" ht="15.6" thickBot="1">
      <c r="A25" s="6" t="s">
        <v>36</v>
      </c>
      <c r="B25" s="137">
        <v>20081</v>
      </c>
      <c r="C25" s="137"/>
      <c r="D25" s="138">
        <v>16740</v>
      </c>
      <c r="E25" s="138"/>
      <c r="F25" s="137">
        <v>72361</v>
      </c>
      <c r="G25" s="137"/>
      <c r="H25" s="138">
        <v>72738</v>
      </c>
      <c r="I25" s="6"/>
      <c r="J25" s="6"/>
      <c r="K25" s="6"/>
    </row>
    <row r="26" spans="1:11">
      <c r="A26" s="6" t="s">
        <v>37</v>
      </c>
      <c r="B26" s="10"/>
      <c r="C26" s="10"/>
      <c r="D26" s="5"/>
      <c r="E26" s="5"/>
      <c r="F26" s="11"/>
      <c r="G26" s="11"/>
      <c r="H26" s="21"/>
      <c r="I26" s="6"/>
      <c r="J26" s="6"/>
      <c r="K26" s="6"/>
    </row>
    <row r="27" spans="1:11">
      <c r="A27" s="25" t="s">
        <v>38</v>
      </c>
      <c r="B27" s="139">
        <v>2.7</v>
      </c>
      <c r="C27" s="139"/>
      <c r="D27" s="140">
        <v>2.2400000000000002</v>
      </c>
      <c r="E27" s="140"/>
      <c r="F27" s="139">
        <v>9.7200000000000006</v>
      </c>
      <c r="G27" s="139"/>
      <c r="H27" s="141">
        <v>9.6999999999999993</v>
      </c>
      <c r="I27" s="6"/>
      <c r="J27" s="6"/>
      <c r="K27" s="6"/>
    </row>
    <row r="28" spans="1:11">
      <c r="A28" s="25" t="s">
        <v>39</v>
      </c>
      <c r="B28" s="139">
        <v>2.69</v>
      </c>
      <c r="C28" s="139"/>
      <c r="D28" s="140">
        <v>2.23</v>
      </c>
      <c r="E28" s="140"/>
      <c r="F28" s="139">
        <v>9.68</v>
      </c>
      <c r="G28" s="139"/>
      <c r="H28" s="141">
        <v>9.65</v>
      </c>
      <c r="I28" s="6"/>
      <c r="J28" s="6"/>
      <c r="K28" s="6"/>
    </row>
    <row r="29" spans="1:11">
      <c r="A29" s="6" t="s">
        <v>40</v>
      </c>
      <c r="B29" s="10"/>
      <c r="C29" s="10"/>
      <c r="D29" s="5"/>
      <c r="E29" s="5"/>
      <c r="F29" s="11"/>
      <c r="G29" s="11"/>
      <c r="H29" s="21"/>
      <c r="I29" s="6"/>
      <c r="J29" s="6"/>
      <c r="K29" s="6"/>
    </row>
    <row r="30" spans="1:11">
      <c r="A30" s="25" t="s">
        <v>38</v>
      </c>
      <c r="B30" s="12">
        <v>7434</v>
      </c>
      <c r="C30" s="12"/>
      <c r="D30" s="13">
        <v>7474</v>
      </c>
      <c r="E30" s="13"/>
      <c r="F30" s="12">
        <v>7446</v>
      </c>
      <c r="G30" s="12"/>
      <c r="H30" s="13">
        <v>7496</v>
      </c>
      <c r="I30" s="6"/>
      <c r="J30" s="6"/>
      <c r="K30" s="6"/>
    </row>
    <row r="31" spans="1:11">
      <c r="A31" s="114" t="s">
        <v>39</v>
      </c>
      <c r="B31" s="16">
        <v>7467</v>
      </c>
      <c r="C31" s="16"/>
      <c r="D31" s="23">
        <v>7506</v>
      </c>
      <c r="E31" s="23"/>
      <c r="F31" s="16">
        <v>7472</v>
      </c>
      <c r="G31" s="16"/>
      <c r="H31" s="23">
        <v>7540</v>
      </c>
      <c r="I31" s="6"/>
      <c r="J31" s="6"/>
      <c r="K31" s="6"/>
    </row>
    <row r="32" spans="1:11">
      <c r="A32" s="6"/>
      <c r="B32" s="5"/>
      <c r="C32" s="5"/>
      <c r="D32" s="5"/>
      <c r="E32" s="5"/>
      <c r="F32" s="5"/>
      <c r="G32" s="5"/>
      <c r="H32" s="5"/>
      <c r="I32" s="6"/>
      <c r="J32" s="6"/>
      <c r="K32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" defaultRowHeight="15"/>
  <cols>
    <col min="1" max="1" width="41" style="7" customWidth="1"/>
    <col min="2" max="2" width="10" style="7" customWidth="1"/>
    <col min="3" max="3" width="0.44140625" style="7" customWidth="1"/>
    <col min="4" max="4" width="8.88671875" style="7" customWidth="1"/>
    <col min="5" max="5" width="0.44140625" style="7" customWidth="1"/>
    <col min="6" max="6" width="11" style="7" customWidth="1"/>
    <col min="7" max="7" width="0.44140625" style="7" customWidth="1"/>
    <col min="8" max="8" width="8.88671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56" t="s">
        <v>41</v>
      </c>
      <c r="B3" s="256"/>
      <c r="C3" s="256"/>
      <c r="D3" s="256"/>
      <c r="E3" s="256"/>
      <c r="F3" s="256"/>
      <c r="G3" s="256"/>
      <c r="H3" s="256"/>
      <c r="I3" s="6"/>
      <c r="J3" s="6"/>
      <c r="K3" s="6"/>
    </row>
    <row r="4" spans="1:11">
      <c r="A4" s="256" t="s">
        <v>42</v>
      </c>
      <c r="B4" s="256"/>
      <c r="C4" s="256"/>
      <c r="D4" s="256"/>
      <c r="E4" s="256"/>
      <c r="F4" s="256"/>
      <c r="G4" s="256"/>
      <c r="H4" s="256"/>
      <c r="I4" s="6"/>
      <c r="J4" s="6"/>
      <c r="K4" s="6"/>
    </row>
    <row r="5" spans="1:11">
      <c r="A5" s="193"/>
      <c r="B5" s="193"/>
      <c r="C5" s="193"/>
      <c r="D5" s="193"/>
      <c r="E5" s="193"/>
      <c r="F5" s="193"/>
      <c r="G5" s="193"/>
      <c r="H5" s="193"/>
      <c r="I5" s="6"/>
      <c r="J5" s="6"/>
      <c r="K5" s="6"/>
    </row>
    <row r="6" spans="1:11">
      <c r="A6" s="6"/>
      <c r="B6" s="257" t="s">
        <v>20</v>
      </c>
      <c r="C6" s="257"/>
      <c r="D6" s="257"/>
      <c r="E6" s="194"/>
      <c r="F6" s="257" t="s">
        <v>21</v>
      </c>
      <c r="G6" s="257"/>
      <c r="H6" s="257"/>
      <c r="I6" s="6"/>
      <c r="J6" s="6"/>
      <c r="K6" s="6"/>
    </row>
    <row r="7" spans="1:11">
      <c r="A7" s="4"/>
      <c r="B7" s="257"/>
      <c r="C7" s="257"/>
      <c r="D7" s="257"/>
      <c r="E7" s="194"/>
      <c r="F7" s="257"/>
      <c r="G7" s="257"/>
      <c r="H7" s="257"/>
      <c r="I7" s="6"/>
      <c r="J7" s="6"/>
      <c r="K7" s="6"/>
    </row>
    <row r="8" spans="1:11">
      <c r="A8" s="8"/>
      <c r="B8" s="9">
        <v>2023</v>
      </c>
      <c r="C8" s="9"/>
      <c r="D8" s="9">
        <v>2022</v>
      </c>
      <c r="E8" s="9"/>
      <c r="F8" s="9">
        <v>2023</v>
      </c>
      <c r="G8" s="9"/>
      <c r="H8" s="9">
        <v>2022</v>
      </c>
      <c r="I8" s="6"/>
      <c r="J8" s="6"/>
      <c r="K8" s="6"/>
    </row>
    <row r="9" spans="1:11">
      <c r="A9" s="6" t="s">
        <v>36</v>
      </c>
      <c r="B9" s="142">
        <v>20081</v>
      </c>
      <c r="C9" s="142"/>
      <c r="D9" s="143">
        <v>16740</v>
      </c>
      <c r="E9" s="143"/>
      <c r="F9" s="142">
        <v>72361</v>
      </c>
      <c r="G9" s="142"/>
      <c r="H9" s="143">
        <v>72738</v>
      </c>
      <c r="I9" s="6"/>
      <c r="J9" s="6"/>
      <c r="K9" s="6"/>
    </row>
    <row r="10" spans="1:11" ht="30">
      <c r="A10" s="184" t="s">
        <v>43</v>
      </c>
      <c r="B10" s="10"/>
      <c r="C10" s="10"/>
      <c r="D10" s="5"/>
      <c r="E10" s="5"/>
      <c r="F10" s="11"/>
      <c r="G10" s="11"/>
      <c r="H10" s="5"/>
      <c r="I10" s="6"/>
      <c r="J10" s="6"/>
      <c r="K10" s="6"/>
    </row>
    <row r="11" spans="1:11">
      <c r="A11" s="115" t="s">
        <v>44</v>
      </c>
      <c r="B11" s="12">
        <v>20</v>
      </c>
      <c r="C11" s="12"/>
      <c r="D11" s="13">
        <v>-2</v>
      </c>
      <c r="E11" s="13"/>
      <c r="F11" s="12">
        <v>-14</v>
      </c>
      <c r="G11" s="12"/>
      <c r="H11" s="13">
        <v>6</v>
      </c>
      <c r="I11" s="6"/>
      <c r="J11" s="6"/>
      <c r="K11" s="6"/>
    </row>
    <row r="12" spans="1:11">
      <c r="A12" s="115" t="s">
        <v>45</v>
      </c>
      <c r="B12" s="12">
        <v>-648</v>
      </c>
      <c r="C12" s="12"/>
      <c r="D12" s="13">
        <v>-1313</v>
      </c>
      <c r="E12" s="13"/>
      <c r="F12" s="12">
        <v>-1444</v>
      </c>
      <c r="G12" s="12"/>
      <c r="H12" s="13">
        <v>-5360</v>
      </c>
      <c r="I12" s="6"/>
      <c r="J12" s="6"/>
      <c r="K12" s="6"/>
    </row>
    <row r="13" spans="1:11">
      <c r="A13" s="118" t="s">
        <v>46</v>
      </c>
      <c r="B13" s="16">
        <v>-71</v>
      </c>
      <c r="C13" s="16"/>
      <c r="D13" s="23">
        <v>-887</v>
      </c>
      <c r="E13" s="23"/>
      <c r="F13" s="16">
        <v>-207</v>
      </c>
      <c r="G13" s="16"/>
      <c r="H13" s="23">
        <v>-1146</v>
      </c>
      <c r="I13" s="6"/>
      <c r="J13" s="6"/>
      <c r="K13" s="6"/>
    </row>
    <row r="14" spans="1:11">
      <c r="A14" s="118" t="s">
        <v>47</v>
      </c>
      <c r="B14" s="18">
        <v>-699</v>
      </c>
      <c r="C14" s="18"/>
      <c r="D14" s="24">
        <v>-2202</v>
      </c>
      <c r="E14" s="24"/>
      <c r="F14" s="18">
        <v>-1665</v>
      </c>
      <c r="G14" s="18"/>
      <c r="H14" s="24">
        <v>-6500</v>
      </c>
      <c r="I14" s="6"/>
      <c r="J14" s="6"/>
      <c r="K14" s="6"/>
    </row>
    <row r="15" spans="1:11" ht="15.6" thickBot="1">
      <c r="A15" s="6" t="s">
        <v>48</v>
      </c>
      <c r="B15" s="144">
        <v>19382</v>
      </c>
      <c r="C15" s="144"/>
      <c r="D15" s="145">
        <v>14538</v>
      </c>
      <c r="E15" s="145"/>
      <c r="F15" s="144">
        <v>70696</v>
      </c>
      <c r="G15" s="144"/>
      <c r="H15" s="145">
        <v>66238</v>
      </c>
      <c r="I15" s="6"/>
      <c r="J15" s="6"/>
      <c r="K15" s="6"/>
    </row>
    <row r="16" spans="1:11">
      <c r="A16" s="6"/>
      <c r="B16" s="5"/>
      <c r="C16" s="5"/>
      <c r="D16" s="5"/>
      <c r="E16" s="5"/>
      <c r="F16" s="5"/>
      <c r="G16" s="5"/>
      <c r="H16" s="5"/>
      <c r="I16" s="6"/>
      <c r="J16" s="6"/>
      <c r="K16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0"/>
  <sheetViews>
    <sheetView showGridLines="0" zoomScaleNormal="100" workbookViewId="0"/>
  </sheetViews>
  <sheetFormatPr defaultColWidth="9" defaultRowHeight="15"/>
  <cols>
    <col min="1" max="1" width="53" style="7" customWidth="1"/>
    <col min="2" max="2" width="8.88671875" style="7" customWidth="1"/>
    <col min="3" max="3" width="0.44140625" style="7" customWidth="1"/>
    <col min="4" max="4" width="9.88671875" style="7" customWidth="1"/>
    <col min="5" max="5" width="0.44140625" style="7" customWidth="1"/>
    <col min="6" max="6" width="8.88671875" style="7" customWidth="1"/>
    <col min="7" max="7" width="0.44140625" style="7" customWidth="1"/>
    <col min="8" max="8" width="9.5546875" style="7" customWidth="1"/>
    <col min="9" max="16384" width="9" style="7"/>
  </cols>
  <sheetData>
    <row r="1" spans="1:11">
      <c r="A1" s="27" t="s">
        <v>16</v>
      </c>
      <c r="B1" s="28"/>
      <c r="C1" s="28"/>
      <c r="D1" s="29"/>
      <c r="E1" s="29"/>
      <c r="F1" s="5"/>
      <c r="G1" s="5"/>
      <c r="H1" s="5"/>
      <c r="I1" s="6"/>
      <c r="J1" s="26" t="s">
        <v>17</v>
      </c>
      <c r="K1" s="6"/>
    </row>
    <row r="2" spans="1:11">
      <c r="A2" s="27"/>
      <c r="B2" s="28"/>
      <c r="C2" s="28"/>
      <c r="D2" s="29"/>
      <c r="E2" s="29"/>
      <c r="F2" s="5"/>
      <c r="G2" s="5"/>
      <c r="H2" s="5"/>
      <c r="I2" s="6"/>
      <c r="J2" s="6"/>
      <c r="K2" s="6"/>
    </row>
    <row r="3" spans="1:11">
      <c r="A3" s="258" t="s">
        <v>89</v>
      </c>
      <c r="B3" s="258"/>
      <c r="C3" s="258"/>
      <c r="D3" s="258"/>
      <c r="E3" s="258"/>
      <c r="F3" s="258"/>
      <c r="G3" s="258"/>
      <c r="H3" s="258"/>
      <c r="I3" s="6"/>
      <c r="J3" s="6"/>
      <c r="K3" s="6"/>
    </row>
    <row r="4" spans="1:11">
      <c r="A4" s="258" t="s">
        <v>42</v>
      </c>
      <c r="B4" s="258"/>
      <c r="C4" s="258"/>
      <c r="D4" s="258"/>
      <c r="E4" s="258"/>
      <c r="F4" s="258"/>
      <c r="G4" s="258"/>
      <c r="H4" s="258"/>
      <c r="I4" s="6"/>
      <c r="J4" s="6"/>
      <c r="K4" s="6"/>
    </row>
    <row r="5" spans="1:11">
      <c r="A5" s="195"/>
      <c r="B5" s="195"/>
      <c r="C5" s="195"/>
      <c r="D5" s="195"/>
      <c r="E5" s="195"/>
      <c r="F5" s="195"/>
      <c r="G5" s="195"/>
      <c r="H5" s="195"/>
      <c r="I5" s="6"/>
      <c r="J5" s="6"/>
      <c r="K5" s="6"/>
    </row>
    <row r="6" spans="1:11" ht="15" customHeight="1">
      <c r="A6" s="6"/>
      <c r="B6" s="257" t="s">
        <v>20</v>
      </c>
      <c r="C6" s="257"/>
      <c r="D6" s="257"/>
      <c r="E6" s="194"/>
      <c r="F6" s="257" t="s">
        <v>21</v>
      </c>
      <c r="G6" s="257"/>
      <c r="H6" s="257"/>
      <c r="I6" s="6"/>
      <c r="J6" s="6"/>
      <c r="K6" s="6"/>
    </row>
    <row r="7" spans="1:11">
      <c r="A7" s="4"/>
      <c r="B7" s="257"/>
      <c r="C7" s="257"/>
      <c r="D7" s="257"/>
      <c r="E7" s="194"/>
      <c r="F7" s="257"/>
      <c r="G7" s="257"/>
      <c r="H7" s="257"/>
      <c r="I7" s="6"/>
      <c r="J7" s="6"/>
      <c r="K7" s="6"/>
    </row>
    <row r="8" spans="1:11">
      <c r="A8" s="30"/>
      <c r="B8" s="9">
        <v>2023</v>
      </c>
      <c r="C8" s="9"/>
      <c r="D8" s="9">
        <v>2022</v>
      </c>
      <c r="E8" s="9"/>
      <c r="F8" s="9">
        <v>2023</v>
      </c>
      <c r="G8" s="9"/>
      <c r="H8" s="9">
        <v>2022</v>
      </c>
      <c r="I8" s="6"/>
      <c r="J8" s="6"/>
      <c r="K8" s="6"/>
    </row>
    <row r="9" spans="1:11">
      <c r="A9" s="27" t="s">
        <v>90</v>
      </c>
      <c r="B9" s="31"/>
      <c r="C9" s="31"/>
      <c r="D9" s="31"/>
      <c r="E9" s="31"/>
      <c r="F9" s="31"/>
      <c r="G9" s="31"/>
      <c r="H9" s="31"/>
      <c r="I9" s="6"/>
      <c r="J9" s="6"/>
      <c r="K9" s="6"/>
    </row>
    <row r="10" spans="1:11">
      <c r="A10" s="32" t="s">
        <v>36</v>
      </c>
      <c r="B10" s="146">
        <v>20081</v>
      </c>
      <c r="C10" s="146"/>
      <c r="D10" s="147">
        <v>16740</v>
      </c>
      <c r="E10" s="147"/>
      <c r="F10" s="146">
        <v>72361</v>
      </c>
      <c r="G10" s="146"/>
      <c r="H10" s="147">
        <v>72738</v>
      </c>
      <c r="I10" s="6"/>
      <c r="J10" s="6"/>
      <c r="K10" s="6"/>
    </row>
    <row r="11" spans="1:11" ht="30">
      <c r="A11" s="33" t="s">
        <v>91</v>
      </c>
      <c r="B11" s="34"/>
      <c r="C11" s="34"/>
      <c r="D11" s="35"/>
      <c r="E11" s="35"/>
      <c r="F11" s="34"/>
      <c r="G11" s="34"/>
      <c r="H11" s="35"/>
      <c r="I11" s="6"/>
      <c r="J11" s="6"/>
      <c r="K11" s="6"/>
    </row>
    <row r="12" spans="1:11">
      <c r="A12" s="33" t="s">
        <v>92</v>
      </c>
      <c r="B12" s="36">
        <v>3874</v>
      </c>
      <c r="C12" s="36"/>
      <c r="D12" s="37">
        <v>3979</v>
      </c>
      <c r="E12" s="37"/>
      <c r="F12" s="36">
        <v>13861</v>
      </c>
      <c r="G12" s="36"/>
      <c r="H12" s="37">
        <v>14460</v>
      </c>
      <c r="I12" s="6"/>
      <c r="J12" s="6"/>
      <c r="K12" s="6"/>
    </row>
    <row r="13" spans="1:11">
      <c r="A13" s="33" t="s">
        <v>93</v>
      </c>
      <c r="B13" s="36">
        <v>2416</v>
      </c>
      <c r="C13" s="36"/>
      <c r="D13" s="37">
        <v>1997</v>
      </c>
      <c r="E13" s="37"/>
      <c r="F13" s="36">
        <v>9611</v>
      </c>
      <c r="G13" s="36"/>
      <c r="H13" s="37">
        <v>7502</v>
      </c>
      <c r="I13" s="6"/>
      <c r="J13" s="6"/>
      <c r="K13" s="6"/>
    </row>
    <row r="14" spans="1:11" ht="30">
      <c r="A14" s="33" t="s">
        <v>94</v>
      </c>
      <c r="B14" s="36">
        <v>44</v>
      </c>
      <c r="C14" s="36"/>
      <c r="D14" s="37">
        <v>157</v>
      </c>
      <c r="E14" s="37"/>
      <c r="F14" s="36">
        <v>196</v>
      </c>
      <c r="G14" s="36"/>
      <c r="H14" s="37">
        <v>-409</v>
      </c>
      <c r="I14" s="6"/>
      <c r="J14" s="6"/>
      <c r="K14" s="6"/>
    </row>
    <row r="15" spans="1:11">
      <c r="A15" s="33" t="s">
        <v>95</v>
      </c>
      <c r="B15" s="36">
        <v>-1888</v>
      </c>
      <c r="C15" s="36"/>
      <c r="D15" s="37">
        <v>283</v>
      </c>
      <c r="E15" s="37"/>
      <c r="F15" s="36">
        <v>-6059</v>
      </c>
      <c r="G15" s="36"/>
      <c r="H15" s="37">
        <v>-5702</v>
      </c>
      <c r="I15" s="6"/>
      <c r="J15" s="6"/>
      <c r="K15" s="6"/>
    </row>
    <row r="16" spans="1:11">
      <c r="A16" s="33" t="s">
        <v>96</v>
      </c>
      <c r="B16" s="39"/>
      <c r="C16" s="39"/>
      <c r="D16" s="40"/>
      <c r="E16" s="40"/>
      <c r="F16" s="39"/>
      <c r="G16" s="39"/>
      <c r="H16" s="40"/>
      <c r="I16" s="6"/>
      <c r="J16" s="6"/>
      <c r="K16" s="6"/>
    </row>
    <row r="17" spans="1:11">
      <c r="A17" s="33" t="s">
        <v>97</v>
      </c>
      <c r="B17" s="36">
        <v>-11244</v>
      </c>
      <c r="C17" s="36"/>
      <c r="D17" s="37">
        <v>-12634</v>
      </c>
      <c r="E17" s="37"/>
      <c r="F17" s="36">
        <v>-4087</v>
      </c>
      <c r="G17" s="36"/>
      <c r="H17" s="37">
        <v>-6834</v>
      </c>
      <c r="I17" s="6"/>
      <c r="J17" s="6"/>
      <c r="K17" s="6"/>
    </row>
    <row r="18" spans="1:11">
      <c r="A18" s="33" t="s">
        <v>98</v>
      </c>
      <c r="B18" s="36">
        <v>374</v>
      </c>
      <c r="C18" s="36"/>
      <c r="D18" s="37">
        <v>-461</v>
      </c>
      <c r="E18" s="37"/>
      <c r="F18" s="36">
        <v>1242</v>
      </c>
      <c r="G18" s="36"/>
      <c r="H18" s="37">
        <v>-1123</v>
      </c>
      <c r="I18" s="6"/>
      <c r="J18" s="6"/>
      <c r="K18" s="6"/>
    </row>
    <row r="19" spans="1:11">
      <c r="A19" s="33" t="s">
        <v>99</v>
      </c>
      <c r="B19" s="36">
        <v>-2419</v>
      </c>
      <c r="C19" s="36"/>
      <c r="D19" s="37">
        <v>-2570</v>
      </c>
      <c r="E19" s="37"/>
      <c r="F19" s="36">
        <v>-1991</v>
      </c>
      <c r="G19" s="36"/>
      <c r="H19" s="37">
        <v>-709</v>
      </c>
      <c r="I19" s="6"/>
      <c r="J19" s="6"/>
      <c r="K19" s="6"/>
    </row>
    <row r="20" spans="1:11">
      <c r="A20" s="33" t="s">
        <v>100</v>
      </c>
      <c r="B20" s="36">
        <v>-1548</v>
      </c>
      <c r="C20" s="36"/>
      <c r="D20" s="37">
        <v>-575</v>
      </c>
      <c r="E20" s="37"/>
      <c r="F20" s="36">
        <v>-2833</v>
      </c>
      <c r="G20" s="36"/>
      <c r="H20" s="37">
        <v>-2805</v>
      </c>
      <c r="I20" s="6"/>
      <c r="J20" s="6"/>
      <c r="K20" s="6"/>
    </row>
    <row r="21" spans="1:11">
      <c r="A21" s="33" t="s">
        <v>101</v>
      </c>
      <c r="B21" s="36">
        <v>1311</v>
      </c>
      <c r="C21" s="36"/>
      <c r="D21" s="37">
        <v>2659</v>
      </c>
      <c r="E21" s="37"/>
      <c r="F21" s="36">
        <v>-2721</v>
      </c>
      <c r="G21" s="36"/>
      <c r="H21" s="37">
        <v>2943</v>
      </c>
      <c r="I21" s="6"/>
      <c r="J21" s="6"/>
      <c r="K21" s="6"/>
    </row>
    <row r="22" spans="1:11">
      <c r="A22" s="33" t="s">
        <v>102</v>
      </c>
      <c r="B22" s="36">
        <v>14224</v>
      </c>
      <c r="C22" s="36"/>
      <c r="D22" s="37">
        <v>12546</v>
      </c>
      <c r="E22" s="37"/>
      <c r="F22" s="36">
        <v>5535</v>
      </c>
      <c r="G22" s="36"/>
      <c r="H22" s="37">
        <v>5109</v>
      </c>
      <c r="I22" s="6"/>
      <c r="J22" s="6"/>
      <c r="K22" s="6"/>
    </row>
    <row r="23" spans="1:11">
      <c r="A23" s="33" t="s">
        <v>103</v>
      </c>
      <c r="B23" s="36">
        <v>681</v>
      </c>
      <c r="C23" s="36"/>
      <c r="D23" s="37">
        <v>-991</v>
      </c>
      <c r="E23" s="37"/>
      <c r="F23" s="36">
        <v>-358</v>
      </c>
      <c r="G23" s="36"/>
      <c r="H23" s="37">
        <v>696</v>
      </c>
      <c r="I23" s="6"/>
      <c r="J23" s="6"/>
      <c r="K23" s="6"/>
    </row>
    <row r="24" spans="1:11">
      <c r="A24" s="33" t="s">
        <v>104</v>
      </c>
      <c r="B24" s="36">
        <v>2762</v>
      </c>
      <c r="C24" s="36"/>
      <c r="D24" s="37">
        <v>3455</v>
      </c>
      <c r="E24" s="37"/>
      <c r="F24" s="36">
        <v>2272</v>
      </c>
      <c r="G24" s="36"/>
      <c r="H24" s="37">
        <v>2344</v>
      </c>
      <c r="I24" s="6"/>
      <c r="J24" s="6"/>
      <c r="K24" s="6"/>
    </row>
    <row r="25" spans="1:11">
      <c r="A25" s="116" t="s">
        <v>105</v>
      </c>
      <c r="B25" s="41">
        <v>102</v>
      </c>
      <c r="C25" s="41"/>
      <c r="D25" s="42">
        <v>44</v>
      </c>
      <c r="E25" s="42"/>
      <c r="F25" s="41">
        <v>553</v>
      </c>
      <c r="G25" s="41"/>
      <c r="H25" s="42">
        <v>825</v>
      </c>
      <c r="I25" s="6"/>
      <c r="J25" s="6"/>
      <c r="K25" s="6"/>
    </row>
    <row r="26" spans="1:11">
      <c r="A26" s="117" t="s">
        <v>106</v>
      </c>
      <c r="B26" s="41">
        <v>28770</v>
      </c>
      <c r="C26" s="41"/>
      <c r="D26" s="43">
        <v>24629</v>
      </c>
      <c r="E26" s="43"/>
      <c r="F26" s="44">
        <v>87582</v>
      </c>
      <c r="G26" s="44"/>
      <c r="H26" s="43">
        <v>89035</v>
      </c>
      <c r="I26" s="6"/>
      <c r="J26" s="6"/>
      <c r="K26" s="6"/>
    </row>
    <row r="27" spans="1:11">
      <c r="A27" s="27" t="s">
        <v>107</v>
      </c>
      <c r="B27" s="39"/>
      <c r="C27" s="39"/>
      <c r="D27" s="40"/>
      <c r="E27" s="40"/>
      <c r="F27" s="39"/>
      <c r="G27" s="39"/>
      <c r="H27" s="40"/>
      <c r="I27" s="6"/>
      <c r="J27" s="6"/>
      <c r="K27" s="6"/>
    </row>
    <row r="28" spans="1:11">
      <c r="A28" s="121" t="s">
        <v>108</v>
      </c>
      <c r="B28" s="36">
        <v>-1000</v>
      </c>
      <c r="C28" s="36"/>
      <c r="D28" s="37">
        <v>0</v>
      </c>
      <c r="E28" s="37"/>
      <c r="F28" s="36">
        <v>-2750</v>
      </c>
      <c r="G28" s="36"/>
      <c r="H28" s="37">
        <v>-9023</v>
      </c>
      <c r="I28" s="6"/>
      <c r="J28" s="6"/>
      <c r="K28" s="6"/>
    </row>
    <row r="29" spans="1:11">
      <c r="A29" s="48" t="s">
        <v>109</v>
      </c>
      <c r="B29" s="36">
        <v>512</v>
      </c>
      <c r="C29" s="36"/>
      <c r="D29" s="37">
        <v>461</v>
      </c>
      <c r="E29" s="37"/>
      <c r="F29" s="36">
        <v>1866</v>
      </c>
      <c r="G29" s="36"/>
      <c r="H29" s="37">
        <v>1841</v>
      </c>
      <c r="I29" s="6"/>
      <c r="J29" s="6"/>
      <c r="K29" s="6"/>
    </row>
    <row r="30" spans="1:11">
      <c r="A30" s="48" t="s">
        <v>110</v>
      </c>
      <c r="B30" s="36">
        <v>-5704</v>
      </c>
      <c r="C30" s="36"/>
      <c r="D30" s="37">
        <v>-8757</v>
      </c>
      <c r="E30" s="37"/>
      <c r="F30" s="36">
        <v>-22245</v>
      </c>
      <c r="G30" s="36"/>
      <c r="H30" s="37">
        <v>-32696</v>
      </c>
      <c r="I30" s="6"/>
      <c r="J30" s="6"/>
      <c r="K30" s="6"/>
    </row>
    <row r="31" spans="1:11">
      <c r="A31" s="38" t="s">
        <v>111</v>
      </c>
      <c r="B31" s="36">
        <v>-5054</v>
      </c>
      <c r="C31" s="36"/>
      <c r="D31" s="37">
        <v>-4632</v>
      </c>
      <c r="E31" s="37"/>
      <c r="F31" s="36">
        <v>-19800</v>
      </c>
      <c r="G31" s="36"/>
      <c r="H31" s="37">
        <v>-18135</v>
      </c>
      <c r="I31" s="6"/>
      <c r="J31" s="6"/>
      <c r="K31" s="6"/>
    </row>
    <row r="32" spans="1:11">
      <c r="A32" s="52" t="s">
        <v>112</v>
      </c>
      <c r="B32" s="41">
        <v>-167</v>
      </c>
      <c r="C32" s="41"/>
      <c r="D32" s="42">
        <v>-341</v>
      </c>
      <c r="E32" s="42"/>
      <c r="F32" s="41">
        <v>-1006</v>
      </c>
      <c r="G32" s="41"/>
      <c r="H32" s="42">
        <v>-863</v>
      </c>
      <c r="I32" s="6"/>
      <c r="J32" s="6"/>
      <c r="K32" s="6"/>
    </row>
    <row r="33" spans="1:11">
      <c r="A33" s="117" t="s">
        <v>113</v>
      </c>
      <c r="B33" s="44">
        <v>-11413</v>
      </c>
      <c r="C33" s="44"/>
      <c r="D33" s="43">
        <v>-13269</v>
      </c>
      <c r="E33" s="43"/>
      <c r="F33" s="44">
        <v>-43935</v>
      </c>
      <c r="G33" s="44"/>
      <c r="H33" s="43">
        <v>-58876</v>
      </c>
      <c r="I33" s="6"/>
      <c r="J33" s="6"/>
      <c r="K33" s="6"/>
    </row>
    <row r="34" spans="1:11">
      <c r="A34" s="27" t="s">
        <v>114</v>
      </c>
      <c r="B34" s="49"/>
      <c r="C34" s="49"/>
      <c r="D34" s="50"/>
      <c r="E34" s="50"/>
      <c r="F34" s="49"/>
      <c r="G34" s="49"/>
      <c r="H34" s="50"/>
      <c r="I34" s="6"/>
      <c r="J34" s="6"/>
      <c r="K34" s="6"/>
    </row>
    <row r="35" spans="1:11">
      <c r="A35" s="45" t="s">
        <v>115</v>
      </c>
      <c r="B35" s="36">
        <v>-8943</v>
      </c>
      <c r="C35" s="36"/>
      <c r="D35" s="37">
        <v>-6871</v>
      </c>
      <c r="E35" s="37"/>
      <c r="F35" s="36">
        <v>-28107</v>
      </c>
      <c r="G35" s="36"/>
      <c r="H35" s="37">
        <v>-23886</v>
      </c>
      <c r="I35" s="6"/>
      <c r="J35" s="6"/>
      <c r="K35" s="6"/>
    </row>
    <row r="36" spans="1:11" ht="30" customHeight="1">
      <c r="A36" s="45" t="s">
        <v>116</v>
      </c>
      <c r="B36" s="46">
        <v>-341</v>
      </c>
      <c r="C36" s="46"/>
      <c r="D36" s="47">
        <v>-1263</v>
      </c>
      <c r="E36" s="47"/>
      <c r="F36" s="36">
        <v>-1670</v>
      </c>
      <c r="G36" s="36"/>
      <c r="H36" s="37">
        <v>-22038</v>
      </c>
      <c r="I36" s="6"/>
      <c r="J36" s="6"/>
      <c r="K36" s="6"/>
    </row>
    <row r="37" spans="1:11">
      <c r="A37" s="48" t="s">
        <v>117</v>
      </c>
      <c r="B37" s="36">
        <v>-11976</v>
      </c>
      <c r="C37" s="36"/>
      <c r="D37" s="37">
        <v>-4919</v>
      </c>
      <c r="E37" s="36"/>
      <c r="F37" s="36">
        <v>-37651</v>
      </c>
      <c r="G37" s="36"/>
      <c r="H37" s="37">
        <v>-26456</v>
      </c>
      <c r="I37" s="6"/>
      <c r="J37" s="6"/>
      <c r="K37" s="6"/>
    </row>
    <row r="38" spans="1:11">
      <c r="A38" s="48" t="s">
        <v>118</v>
      </c>
      <c r="B38" s="36">
        <v>6766</v>
      </c>
      <c r="C38" s="36"/>
      <c r="D38" s="37">
        <v>1237</v>
      </c>
      <c r="E38" s="37"/>
      <c r="F38" s="36">
        <v>33510</v>
      </c>
      <c r="G38" s="36"/>
      <c r="H38" s="37">
        <v>16451</v>
      </c>
      <c r="I38" s="6"/>
      <c r="J38" s="6"/>
      <c r="K38" s="6"/>
    </row>
    <row r="39" spans="1:11">
      <c r="A39" s="48" t="s">
        <v>119</v>
      </c>
      <c r="B39" s="36">
        <v>5629</v>
      </c>
      <c r="C39" s="36"/>
      <c r="D39" s="37">
        <v>3225</v>
      </c>
      <c r="E39" s="37"/>
      <c r="F39" s="36">
        <v>14354</v>
      </c>
      <c r="G39" s="36"/>
      <c r="H39" s="37">
        <v>28443</v>
      </c>
      <c r="I39" s="6"/>
      <c r="J39" s="6"/>
      <c r="K39" s="6"/>
    </row>
    <row r="40" spans="1:11">
      <c r="A40" s="48" t="s">
        <v>112</v>
      </c>
      <c r="B40" s="36">
        <v>-269</v>
      </c>
      <c r="C40" s="36"/>
      <c r="D40" s="37">
        <v>-1138</v>
      </c>
      <c r="E40" s="37"/>
      <c r="F40" s="36">
        <v>-3116</v>
      </c>
      <c r="G40" s="36"/>
      <c r="H40" s="37">
        <v>-2825</v>
      </c>
      <c r="I40" s="6"/>
      <c r="J40" s="6"/>
      <c r="K40" s="6"/>
    </row>
    <row r="41" spans="1:11">
      <c r="A41" s="119" t="s">
        <v>120</v>
      </c>
      <c r="B41" s="44">
        <v>-9134</v>
      </c>
      <c r="C41" s="44"/>
      <c r="D41" s="43">
        <v>-9729</v>
      </c>
      <c r="E41" s="43"/>
      <c r="F41" s="44">
        <v>-22680</v>
      </c>
      <c r="G41" s="44"/>
      <c r="H41" s="43">
        <v>-30311</v>
      </c>
      <c r="I41" s="6"/>
      <c r="J41" s="6"/>
      <c r="K41" s="6"/>
    </row>
    <row r="42" spans="1:11" ht="13.5" customHeight="1">
      <c r="A42" s="51" t="s">
        <v>121</v>
      </c>
      <c r="B42" s="44">
        <v>-81</v>
      </c>
      <c r="C42" s="44"/>
      <c r="D42" s="43">
        <v>-198</v>
      </c>
      <c r="E42" s="43"/>
      <c r="F42" s="44">
        <v>-194</v>
      </c>
      <c r="G42" s="44"/>
      <c r="H42" s="43">
        <v>-141</v>
      </c>
      <c r="I42" s="6"/>
      <c r="J42" s="6"/>
      <c r="K42" s="6"/>
    </row>
    <row r="43" spans="1:11">
      <c r="A43" s="45" t="s">
        <v>122</v>
      </c>
      <c r="B43" s="36">
        <v>8142</v>
      </c>
      <c r="C43" s="36"/>
      <c r="D43" s="37">
        <v>1433</v>
      </c>
      <c r="E43" s="37"/>
      <c r="F43" s="36">
        <v>20773</v>
      </c>
      <c r="G43" s="36"/>
      <c r="H43" s="37">
        <v>-293</v>
      </c>
      <c r="I43" s="6"/>
      <c r="J43" s="6"/>
      <c r="K43" s="6"/>
    </row>
    <row r="44" spans="1:11">
      <c r="A44" s="52" t="s">
        <v>123</v>
      </c>
      <c r="B44" s="41">
        <v>26562</v>
      </c>
      <c r="C44" s="41"/>
      <c r="D44" s="42">
        <v>12498</v>
      </c>
      <c r="E44" s="42"/>
      <c r="F44" s="41">
        <v>13931</v>
      </c>
      <c r="G44" s="41"/>
      <c r="H44" s="42">
        <v>14224</v>
      </c>
      <c r="I44" s="6"/>
      <c r="J44" s="6"/>
      <c r="K44" s="6"/>
    </row>
    <row r="45" spans="1:11" ht="15.6" thickBot="1">
      <c r="A45" s="45" t="s">
        <v>124</v>
      </c>
      <c r="B45" s="148">
        <v>34704</v>
      </c>
      <c r="C45" s="148"/>
      <c r="D45" s="149">
        <v>13931</v>
      </c>
      <c r="E45" s="149"/>
      <c r="F45" s="148">
        <v>34704</v>
      </c>
      <c r="G45" s="148"/>
      <c r="H45" s="149">
        <v>13931</v>
      </c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Normal="100" workbookViewId="0"/>
  </sheetViews>
  <sheetFormatPr defaultColWidth="9" defaultRowHeight="15"/>
  <cols>
    <col min="1" max="1" width="31.5546875" style="56" bestFit="1" customWidth="1"/>
    <col min="2" max="2" width="10" style="65" customWidth="1"/>
    <col min="3" max="3" width="0.44140625" style="65" customWidth="1"/>
    <col min="4" max="4" width="8.88671875" style="65" customWidth="1"/>
    <col min="5" max="5" width="0.44140625" style="65" customWidth="1"/>
    <col min="6" max="6" width="10" style="56" customWidth="1"/>
    <col min="7" max="7" width="0.44140625" style="56" customWidth="1"/>
    <col min="8" max="8" width="9.5546875" style="56" bestFit="1" customWidth="1"/>
    <col min="9" max="16384" width="9" style="56"/>
  </cols>
  <sheetData>
    <row r="1" spans="1:11">
      <c r="A1" s="53" t="s">
        <v>16</v>
      </c>
      <c r="B1" s="54"/>
      <c r="C1" s="54"/>
      <c r="D1" s="54"/>
      <c r="E1" s="54"/>
      <c r="F1" s="54"/>
      <c r="G1" s="54"/>
      <c r="H1" s="54"/>
      <c r="I1" s="55"/>
      <c r="J1" s="66" t="s">
        <v>17</v>
      </c>
      <c r="K1" s="55"/>
    </row>
    <row r="2" spans="1:11">
      <c r="A2" s="53"/>
      <c r="B2" s="54"/>
      <c r="C2" s="54"/>
      <c r="D2" s="54"/>
      <c r="E2" s="54"/>
      <c r="F2" s="54"/>
      <c r="G2" s="54"/>
      <c r="H2" s="54"/>
      <c r="I2" s="55"/>
      <c r="J2" s="55"/>
      <c r="K2" s="55"/>
    </row>
    <row r="3" spans="1:11">
      <c r="A3" s="259" t="s">
        <v>125</v>
      </c>
      <c r="B3" s="259"/>
      <c r="C3" s="259"/>
      <c r="D3" s="259"/>
      <c r="E3" s="259"/>
      <c r="F3" s="259"/>
      <c r="G3" s="259"/>
      <c r="H3" s="259"/>
      <c r="I3" s="55"/>
      <c r="J3" s="55"/>
      <c r="K3" s="55"/>
    </row>
    <row r="4" spans="1:11">
      <c r="A4" s="259" t="s">
        <v>42</v>
      </c>
      <c r="B4" s="259"/>
      <c r="C4" s="259"/>
      <c r="D4" s="259"/>
      <c r="E4" s="259"/>
      <c r="F4" s="259"/>
      <c r="G4" s="259"/>
      <c r="H4" s="259"/>
      <c r="I4" s="55"/>
      <c r="J4" s="55"/>
      <c r="K4" s="55"/>
    </row>
    <row r="5" spans="1:11">
      <c r="A5" s="196"/>
      <c r="B5" s="196"/>
      <c r="C5" s="196"/>
      <c r="D5" s="196"/>
      <c r="E5" s="196"/>
      <c r="F5" s="196"/>
      <c r="G5" s="196"/>
      <c r="H5" s="196"/>
      <c r="I5" s="55"/>
      <c r="J5" s="55"/>
      <c r="K5" s="55"/>
    </row>
    <row r="6" spans="1:11">
      <c r="A6" s="57"/>
      <c r="B6" s="260" t="s">
        <v>20</v>
      </c>
      <c r="C6" s="260"/>
      <c r="D6" s="260"/>
      <c r="E6" s="197"/>
      <c r="F6" s="260" t="s">
        <v>21</v>
      </c>
      <c r="G6" s="260"/>
      <c r="H6" s="260"/>
      <c r="I6" s="55"/>
      <c r="J6" s="55"/>
      <c r="K6" s="55"/>
    </row>
    <row r="7" spans="1:11">
      <c r="A7" s="58"/>
      <c r="B7" s="260"/>
      <c r="C7" s="260"/>
      <c r="D7" s="260"/>
      <c r="E7" s="197"/>
      <c r="F7" s="260"/>
      <c r="G7" s="260"/>
      <c r="H7" s="260"/>
      <c r="I7" s="55"/>
      <c r="J7" s="55"/>
      <c r="K7" s="55"/>
    </row>
    <row r="8" spans="1:11">
      <c r="A8" s="59"/>
      <c r="B8" s="60">
        <v>2023</v>
      </c>
      <c r="C8" s="60"/>
      <c r="D8" s="60">
        <v>2022</v>
      </c>
      <c r="E8" s="60"/>
      <c r="F8" s="60">
        <v>2023</v>
      </c>
      <c r="G8" s="60"/>
      <c r="H8" s="60">
        <v>2022</v>
      </c>
      <c r="I8" s="55"/>
      <c r="J8" s="55"/>
      <c r="K8" s="55"/>
    </row>
    <row r="9" spans="1:11">
      <c r="A9" s="53" t="s">
        <v>126</v>
      </c>
      <c r="B9" s="57"/>
      <c r="C9" s="57"/>
      <c r="D9" s="54"/>
      <c r="E9" s="54"/>
      <c r="F9" s="57"/>
      <c r="G9" s="57"/>
      <c r="H9" s="54"/>
      <c r="I9" s="55"/>
      <c r="J9" s="55"/>
      <c r="K9" s="55"/>
    </row>
    <row r="10" spans="1:11">
      <c r="A10" s="55" t="s">
        <v>127</v>
      </c>
      <c r="B10" s="150">
        <v>18291</v>
      </c>
      <c r="C10" s="150"/>
      <c r="D10" s="151">
        <v>16600</v>
      </c>
      <c r="E10" s="151"/>
      <c r="F10" s="150">
        <v>69274</v>
      </c>
      <c r="G10" s="150"/>
      <c r="H10" s="151">
        <v>63364</v>
      </c>
      <c r="I10" s="55"/>
      <c r="J10" s="55"/>
      <c r="K10" s="55"/>
    </row>
    <row r="11" spans="1:11">
      <c r="A11" s="134" t="s">
        <v>128</v>
      </c>
      <c r="B11" s="61">
        <v>23993</v>
      </c>
      <c r="C11" s="61"/>
      <c r="D11" s="62">
        <v>20804</v>
      </c>
      <c r="E11" s="62"/>
      <c r="F11" s="61">
        <v>87907</v>
      </c>
      <c r="G11" s="61"/>
      <c r="H11" s="62">
        <v>74965</v>
      </c>
      <c r="I11" s="55"/>
      <c r="J11" s="55"/>
      <c r="K11" s="55"/>
    </row>
    <row r="12" spans="1:11">
      <c r="A12" s="180" t="s">
        <v>129</v>
      </c>
      <c r="B12" s="181">
        <v>13905</v>
      </c>
      <c r="C12" s="181"/>
      <c r="D12" s="182">
        <v>14461</v>
      </c>
      <c r="E12" s="182"/>
      <c r="F12" s="181">
        <v>54734</v>
      </c>
      <c r="G12" s="181"/>
      <c r="H12" s="182">
        <v>59941</v>
      </c>
      <c r="I12" s="55"/>
      <c r="J12" s="55"/>
      <c r="K12" s="55"/>
    </row>
    <row r="13" spans="1:11" ht="15.6" thickBot="1">
      <c r="A13" s="64" t="s">
        <v>130</v>
      </c>
      <c r="B13" s="152">
        <v>56189</v>
      </c>
      <c r="C13" s="152"/>
      <c r="D13" s="153">
        <v>51865</v>
      </c>
      <c r="E13" s="153"/>
      <c r="F13" s="152">
        <v>211915</v>
      </c>
      <c r="G13" s="152"/>
      <c r="H13" s="153">
        <v>198270</v>
      </c>
      <c r="I13" s="55"/>
      <c r="J13" s="55"/>
      <c r="K13" s="55"/>
    </row>
    <row r="14" spans="1:11">
      <c r="A14" s="53" t="s">
        <v>131</v>
      </c>
      <c r="B14" s="63"/>
      <c r="C14" s="63"/>
      <c r="D14" s="54"/>
      <c r="E14" s="54"/>
      <c r="F14" s="63"/>
      <c r="G14" s="63"/>
      <c r="H14" s="54"/>
      <c r="I14" s="55"/>
      <c r="J14" s="55"/>
      <c r="K14" s="55"/>
    </row>
    <row r="15" spans="1:11">
      <c r="A15" s="55" t="s">
        <v>127</v>
      </c>
      <c r="B15" s="150">
        <v>9052</v>
      </c>
      <c r="C15" s="150"/>
      <c r="D15" s="151">
        <v>7236</v>
      </c>
      <c r="E15" s="151"/>
      <c r="F15" s="150">
        <v>34189</v>
      </c>
      <c r="G15" s="150"/>
      <c r="H15" s="151">
        <v>29690</v>
      </c>
      <c r="I15" s="55"/>
      <c r="J15" s="55"/>
      <c r="K15" s="55"/>
    </row>
    <row r="16" spans="1:11">
      <c r="A16" s="55" t="s">
        <v>128</v>
      </c>
      <c r="B16" s="61">
        <v>10526</v>
      </c>
      <c r="C16" s="61"/>
      <c r="D16" s="62">
        <v>8808</v>
      </c>
      <c r="E16" s="62"/>
      <c r="F16" s="61">
        <v>37884</v>
      </c>
      <c r="G16" s="61"/>
      <c r="H16" s="62">
        <v>33203</v>
      </c>
      <c r="I16" s="55"/>
      <c r="J16" s="55"/>
      <c r="K16" s="55"/>
    </row>
    <row r="17" spans="1:11">
      <c r="A17" s="180" t="s">
        <v>129</v>
      </c>
      <c r="B17" s="181">
        <v>4676</v>
      </c>
      <c r="C17" s="181"/>
      <c r="D17" s="182">
        <v>4490</v>
      </c>
      <c r="E17" s="182"/>
      <c r="F17" s="181">
        <v>16450</v>
      </c>
      <c r="G17" s="181"/>
      <c r="H17" s="182">
        <v>20490</v>
      </c>
      <c r="I17" s="55"/>
      <c r="J17" s="55"/>
      <c r="K17" s="55"/>
    </row>
    <row r="18" spans="1:11" ht="15.6" thickBot="1">
      <c r="A18" s="64" t="s">
        <v>130</v>
      </c>
      <c r="B18" s="152">
        <v>24254</v>
      </c>
      <c r="C18" s="152"/>
      <c r="D18" s="153">
        <v>20534</v>
      </c>
      <c r="E18" s="153"/>
      <c r="F18" s="152">
        <v>88523</v>
      </c>
      <c r="G18" s="152"/>
      <c r="H18" s="153">
        <v>83383</v>
      </c>
      <c r="I18" s="55"/>
      <c r="J18" s="55"/>
      <c r="K18" s="55"/>
    </row>
    <row r="19" spans="1:11">
      <c r="A19" s="261"/>
      <c r="B19" s="261"/>
      <c r="C19" s="261"/>
      <c r="D19" s="261"/>
      <c r="E19" s="261"/>
      <c r="F19" s="261"/>
      <c r="G19" s="261"/>
      <c r="H19" s="261"/>
      <c r="I19" s="55"/>
      <c r="J19" s="55"/>
      <c r="K19" s="55"/>
    </row>
    <row r="20" spans="1:11">
      <c r="A20" s="64" t="s">
        <v>132</v>
      </c>
      <c r="B20" s="54"/>
      <c r="C20" s="54"/>
      <c r="D20" s="54"/>
      <c r="E20" s="54"/>
      <c r="F20" s="55"/>
      <c r="G20" s="55"/>
      <c r="H20" s="55"/>
      <c r="I20" s="55"/>
      <c r="J20" s="55"/>
      <c r="K20" s="55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I35"/>
  <sheetViews>
    <sheetView showGridLines="0" zoomScaleNormal="100" workbookViewId="0"/>
  </sheetViews>
  <sheetFormatPr defaultColWidth="9" defaultRowHeight="15"/>
  <cols>
    <col min="1" max="1" width="51.88671875" style="56" bestFit="1" customWidth="1"/>
    <col min="2" max="3" width="1.88671875" style="56" customWidth="1"/>
    <col min="4" max="33" width="8.88671875" style="56" customWidth="1"/>
    <col min="34" max="16384" width="9" style="56"/>
  </cols>
  <sheetData>
    <row r="1" spans="1:35">
      <c r="A1" s="68" t="s">
        <v>133</v>
      </c>
      <c r="D1" s="76" t="s">
        <v>17</v>
      </c>
    </row>
    <row r="2" spans="1:35">
      <c r="A2" s="68" t="s">
        <v>5</v>
      </c>
    </row>
    <row r="3" spans="1:35">
      <c r="A3" s="56" t="s">
        <v>134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35"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35">
      <c r="C5" s="68"/>
      <c r="D5" s="69" t="s">
        <v>135</v>
      </c>
      <c r="E5" s="69" t="s">
        <v>136</v>
      </c>
      <c r="F5" s="69" t="s">
        <v>137</v>
      </c>
      <c r="G5" s="69" t="s">
        <v>138</v>
      </c>
      <c r="H5" s="69" t="s">
        <v>139</v>
      </c>
      <c r="I5" s="69" t="s">
        <v>140</v>
      </c>
      <c r="J5" s="69" t="s">
        <v>141</v>
      </c>
      <c r="K5" s="69" t="s">
        <v>142</v>
      </c>
      <c r="L5" s="69" t="s">
        <v>143</v>
      </c>
      <c r="M5" s="69" t="s">
        <v>144</v>
      </c>
      <c r="N5" s="69" t="s">
        <v>145</v>
      </c>
      <c r="O5" s="69" t="s">
        <v>146</v>
      </c>
      <c r="P5" s="69" t="s">
        <v>147</v>
      </c>
      <c r="Q5" s="69" t="s">
        <v>148</v>
      </c>
      <c r="R5" s="69" t="s">
        <v>149</v>
      </c>
      <c r="S5" s="69" t="s">
        <v>150</v>
      </c>
      <c r="T5" s="69" t="s">
        <v>151</v>
      </c>
      <c r="U5" s="69" t="s">
        <v>152</v>
      </c>
      <c r="V5" s="69" t="s">
        <v>153</v>
      </c>
      <c r="W5" s="69" t="s">
        <v>154</v>
      </c>
      <c r="X5" s="69" t="s">
        <v>155</v>
      </c>
      <c r="Y5" s="69" t="s">
        <v>156</v>
      </c>
      <c r="Z5" s="69" t="s">
        <v>157</v>
      </c>
      <c r="AA5" s="69" t="s">
        <v>158</v>
      </c>
      <c r="AB5" s="69" t="s">
        <v>159</v>
      </c>
      <c r="AC5" s="69" t="s">
        <v>160</v>
      </c>
      <c r="AD5" s="69" t="s">
        <v>161</v>
      </c>
      <c r="AE5" s="69" t="s">
        <v>162</v>
      </c>
      <c r="AF5" s="69" t="s">
        <v>163</v>
      </c>
      <c r="AG5" s="69" t="s">
        <v>164</v>
      </c>
      <c r="AH5" s="69" t="s">
        <v>165</v>
      </c>
      <c r="AI5" s="69" t="s">
        <v>166</v>
      </c>
    </row>
    <row r="6" spans="1:35">
      <c r="A6" s="56" t="s">
        <v>22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</row>
    <row r="7" spans="1:35">
      <c r="A7" s="56" t="s">
        <v>23</v>
      </c>
      <c r="D7" s="136">
        <v>15750</v>
      </c>
      <c r="E7" s="136">
        <v>19431</v>
      </c>
      <c r="F7" s="136">
        <v>15307</v>
      </c>
      <c r="G7" s="136">
        <v>16848</v>
      </c>
      <c r="H7" s="136">
        <v>14968</v>
      </c>
      <c r="I7" s="136">
        <v>18273</v>
      </c>
      <c r="J7" s="136">
        <v>14513</v>
      </c>
      <c r="K7" s="136">
        <v>16057</v>
      </c>
      <c r="L7" s="136">
        <v>14298</v>
      </c>
      <c r="M7" s="136">
        <v>17926</v>
      </c>
      <c r="N7" s="136">
        <v>15114</v>
      </c>
      <c r="O7" s="136">
        <v>17159</v>
      </c>
      <c r="P7" s="136">
        <v>17299</v>
      </c>
      <c r="Q7" s="136">
        <v>16219</v>
      </c>
      <c r="R7" s="136">
        <v>15448</v>
      </c>
      <c r="S7" s="136">
        <v>17103</v>
      </c>
      <c r="T7" s="136">
        <v>15768</v>
      </c>
      <c r="U7" s="136">
        <v>18255</v>
      </c>
      <c r="V7" s="136">
        <v>15871</v>
      </c>
      <c r="W7" s="136">
        <v>18147</v>
      </c>
      <c r="X7" s="136">
        <v>15803</v>
      </c>
      <c r="Y7" s="136">
        <v>19460</v>
      </c>
      <c r="Z7" s="136">
        <v>16873</v>
      </c>
      <c r="AA7" s="136">
        <v>18938</v>
      </c>
      <c r="AB7" s="136">
        <v>16631</v>
      </c>
      <c r="AC7" s="136">
        <v>20779</v>
      </c>
      <c r="AD7" s="136">
        <v>17366</v>
      </c>
      <c r="AE7" s="136">
        <v>17956</v>
      </c>
      <c r="AF7" s="136">
        <v>15741</v>
      </c>
      <c r="AG7" s="136">
        <v>16517</v>
      </c>
      <c r="AH7" s="136">
        <v>15588</v>
      </c>
      <c r="AI7" s="136">
        <v>16853</v>
      </c>
    </row>
    <row r="8" spans="1:35">
      <c r="A8" s="56" t="s">
        <v>24</v>
      </c>
      <c r="D8" s="178">
        <v>5160</v>
      </c>
      <c r="E8" s="178">
        <v>5822</v>
      </c>
      <c r="F8" s="178">
        <v>6210</v>
      </c>
      <c r="G8" s="178">
        <v>6626</v>
      </c>
      <c r="H8" s="178">
        <v>6960</v>
      </c>
      <c r="I8" s="178">
        <v>7553</v>
      </c>
      <c r="J8" s="178">
        <v>8699</v>
      </c>
      <c r="K8" s="178">
        <v>9548</v>
      </c>
      <c r="L8" s="178">
        <v>10240</v>
      </c>
      <c r="M8" s="178">
        <v>10992</v>
      </c>
      <c r="N8" s="178">
        <v>11705</v>
      </c>
      <c r="O8" s="178">
        <v>12926</v>
      </c>
      <c r="P8" s="178">
        <v>11785</v>
      </c>
      <c r="Q8" s="178">
        <v>16252</v>
      </c>
      <c r="R8" s="178">
        <v>15123</v>
      </c>
      <c r="S8" s="178">
        <v>16614</v>
      </c>
      <c r="T8" s="178">
        <v>17287</v>
      </c>
      <c r="U8" s="178">
        <v>18651</v>
      </c>
      <c r="V8" s="178">
        <v>19150</v>
      </c>
      <c r="W8" s="178">
        <v>19886</v>
      </c>
      <c r="X8" s="178">
        <v>21351</v>
      </c>
      <c r="Y8" s="178">
        <v>23616</v>
      </c>
      <c r="Z8" s="178">
        <v>24833</v>
      </c>
      <c r="AA8" s="178">
        <v>27214</v>
      </c>
      <c r="AB8" s="178">
        <v>28686</v>
      </c>
      <c r="AC8" s="178">
        <v>30949</v>
      </c>
      <c r="AD8" s="178">
        <v>31994</v>
      </c>
      <c r="AE8" s="178">
        <v>33909</v>
      </c>
      <c r="AF8" s="178">
        <v>34381</v>
      </c>
      <c r="AG8" s="178">
        <v>36230</v>
      </c>
      <c r="AH8" s="178">
        <v>37269</v>
      </c>
      <c r="AI8" s="178">
        <v>39336</v>
      </c>
    </row>
    <row r="9" spans="1:35">
      <c r="A9" s="56" t="s">
        <v>25</v>
      </c>
      <c r="D9" s="179">
        <v>20910</v>
      </c>
      <c r="E9" s="179">
        <v>25253</v>
      </c>
      <c r="F9" s="179">
        <v>21517</v>
      </c>
      <c r="G9" s="179">
        <v>23474</v>
      </c>
      <c r="H9" s="179">
        <v>21928</v>
      </c>
      <c r="I9" s="179">
        <v>25826</v>
      </c>
      <c r="J9" s="179">
        <v>23212</v>
      </c>
      <c r="K9" s="179">
        <v>25605</v>
      </c>
      <c r="L9" s="179">
        <v>24538</v>
      </c>
      <c r="M9" s="179">
        <v>28918</v>
      </c>
      <c r="N9" s="179">
        <v>26819</v>
      </c>
      <c r="O9" s="179">
        <v>30085</v>
      </c>
      <c r="P9" s="179">
        <v>29084</v>
      </c>
      <c r="Q9" s="179">
        <v>32471</v>
      </c>
      <c r="R9" s="179">
        <v>30571</v>
      </c>
      <c r="S9" s="179">
        <v>33717</v>
      </c>
      <c r="T9" s="179">
        <v>33055</v>
      </c>
      <c r="U9" s="179">
        <v>36906</v>
      </c>
      <c r="V9" s="179">
        <v>35021</v>
      </c>
      <c r="W9" s="179">
        <v>38033</v>
      </c>
      <c r="X9" s="179">
        <v>37154</v>
      </c>
      <c r="Y9" s="179">
        <v>43076</v>
      </c>
      <c r="Z9" s="179">
        <v>41706</v>
      </c>
      <c r="AA9" s="179">
        <v>46152</v>
      </c>
      <c r="AB9" s="179">
        <v>45317</v>
      </c>
      <c r="AC9" s="179">
        <v>51728</v>
      </c>
      <c r="AD9" s="179">
        <v>49360</v>
      </c>
      <c r="AE9" s="179">
        <v>51865</v>
      </c>
      <c r="AF9" s="179">
        <v>50122</v>
      </c>
      <c r="AG9" s="179">
        <v>52747</v>
      </c>
      <c r="AH9" s="179">
        <v>52857</v>
      </c>
      <c r="AI9" s="179">
        <v>56189</v>
      </c>
    </row>
    <row r="10" spans="1:35">
      <c r="A10" s="56" t="s">
        <v>26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</row>
    <row r="11" spans="1:35">
      <c r="A11" s="56" t="s">
        <v>23</v>
      </c>
      <c r="D11" s="70">
        <v>4035</v>
      </c>
      <c r="E11" s="70">
        <v>6268</v>
      </c>
      <c r="F11" s="70">
        <v>3801</v>
      </c>
      <c r="G11" s="70">
        <v>3776</v>
      </c>
      <c r="H11" s="70">
        <v>3581</v>
      </c>
      <c r="I11" s="70">
        <v>5378</v>
      </c>
      <c r="J11" s="70">
        <v>3075</v>
      </c>
      <c r="K11" s="70">
        <v>3141</v>
      </c>
      <c r="L11" s="70">
        <v>2980</v>
      </c>
      <c r="M11" s="70">
        <v>5498</v>
      </c>
      <c r="N11" s="70">
        <v>3425</v>
      </c>
      <c r="O11" s="70">
        <v>3517</v>
      </c>
      <c r="P11" s="70">
        <v>3649</v>
      </c>
      <c r="Q11" s="70">
        <v>5885</v>
      </c>
      <c r="R11" s="70">
        <v>3441</v>
      </c>
      <c r="S11" s="70">
        <v>3298</v>
      </c>
      <c r="T11" s="70">
        <v>3305</v>
      </c>
      <c r="U11" s="70">
        <v>4966</v>
      </c>
      <c r="V11" s="70">
        <v>3376</v>
      </c>
      <c r="W11" s="70">
        <v>4370</v>
      </c>
      <c r="X11" s="70">
        <v>3597</v>
      </c>
      <c r="Y11" s="70">
        <v>6058</v>
      </c>
      <c r="Z11" s="70">
        <v>4277</v>
      </c>
      <c r="AA11" s="70">
        <v>4287</v>
      </c>
      <c r="AB11" s="70">
        <v>3792</v>
      </c>
      <c r="AC11" s="70">
        <v>6331</v>
      </c>
      <c r="AD11" s="70">
        <v>4584</v>
      </c>
      <c r="AE11" s="70">
        <v>4357</v>
      </c>
      <c r="AF11" s="70">
        <v>4302</v>
      </c>
      <c r="AG11" s="70">
        <v>5690</v>
      </c>
      <c r="AH11" s="70">
        <v>3941</v>
      </c>
      <c r="AI11" s="70">
        <v>3871</v>
      </c>
    </row>
    <row r="12" spans="1:35">
      <c r="A12" s="56" t="s">
        <v>24</v>
      </c>
      <c r="D12" s="71">
        <v>3172</v>
      </c>
      <c r="E12" s="71">
        <v>3604</v>
      </c>
      <c r="F12" s="71">
        <v>3921</v>
      </c>
      <c r="G12" s="71">
        <v>4203</v>
      </c>
      <c r="H12" s="71">
        <v>4263</v>
      </c>
      <c r="I12" s="71">
        <v>4523</v>
      </c>
      <c r="J12" s="71">
        <v>4985</v>
      </c>
      <c r="K12" s="71">
        <v>5315</v>
      </c>
      <c r="L12" s="71">
        <v>5298</v>
      </c>
      <c r="M12" s="71">
        <v>5566</v>
      </c>
      <c r="N12" s="71">
        <v>5844</v>
      </c>
      <c r="O12" s="71">
        <v>6225</v>
      </c>
      <c r="P12" s="71">
        <v>6256</v>
      </c>
      <c r="Q12" s="71">
        <v>6538</v>
      </c>
      <c r="R12" s="71">
        <v>6729</v>
      </c>
      <c r="S12" s="71">
        <v>7114</v>
      </c>
      <c r="T12" s="71">
        <v>7101</v>
      </c>
      <c r="U12" s="71">
        <v>7392</v>
      </c>
      <c r="V12" s="71">
        <v>7599</v>
      </c>
      <c r="W12" s="71">
        <v>7969</v>
      </c>
      <c r="X12" s="71">
        <v>7405</v>
      </c>
      <c r="Y12" s="71">
        <v>8136</v>
      </c>
      <c r="Z12" s="71">
        <v>8768</v>
      </c>
      <c r="AA12" s="71">
        <v>9704</v>
      </c>
      <c r="AB12" s="71">
        <v>9854</v>
      </c>
      <c r="AC12" s="71">
        <v>10629</v>
      </c>
      <c r="AD12" s="71">
        <v>11031</v>
      </c>
      <c r="AE12" s="71">
        <v>12072</v>
      </c>
      <c r="AF12" s="71">
        <v>11150</v>
      </c>
      <c r="AG12" s="71">
        <v>11798</v>
      </c>
      <c r="AH12" s="71">
        <v>12187</v>
      </c>
      <c r="AI12" s="71">
        <v>12924</v>
      </c>
    </row>
    <row r="13" spans="1:35">
      <c r="A13" s="56" t="s">
        <v>27</v>
      </c>
      <c r="D13" s="109">
        <v>7207</v>
      </c>
      <c r="E13" s="109">
        <v>9872</v>
      </c>
      <c r="F13" s="109">
        <v>7722</v>
      </c>
      <c r="G13" s="109">
        <v>7979</v>
      </c>
      <c r="H13" s="109">
        <v>7844</v>
      </c>
      <c r="I13" s="109">
        <v>9901</v>
      </c>
      <c r="J13" s="109">
        <v>8060</v>
      </c>
      <c r="K13" s="109">
        <v>8456</v>
      </c>
      <c r="L13" s="109">
        <v>8278</v>
      </c>
      <c r="M13" s="109">
        <v>11064</v>
      </c>
      <c r="N13" s="109">
        <v>9269</v>
      </c>
      <c r="O13" s="109">
        <v>9742</v>
      </c>
      <c r="P13" s="109">
        <v>9905</v>
      </c>
      <c r="Q13" s="109">
        <v>12423</v>
      </c>
      <c r="R13" s="109">
        <v>10170</v>
      </c>
      <c r="S13" s="109">
        <v>10412</v>
      </c>
      <c r="T13" s="109">
        <v>10406</v>
      </c>
      <c r="U13" s="109">
        <v>12358</v>
      </c>
      <c r="V13" s="109">
        <v>10975</v>
      </c>
      <c r="W13" s="109">
        <v>12339</v>
      </c>
      <c r="X13" s="109">
        <v>11002</v>
      </c>
      <c r="Y13" s="109">
        <v>14194</v>
      </c>
      <c r="Z13" s="109">
        <v>13045</v>
      </c>
      <c r="AA13" s="109">
        <v>13991</v>
      </c>
      <c r="AB13" s="109">
        <v>13646</v>
      </c>
      <c r="AC13" s="109">
        <v>16960</v>
      </c>
      <c r="AD13" s="109">
        <v>15615</v>
      </c>
      <c r="AE13" s="109">
        <v>16429</v>
      </c>
      <c r="AF13" s="109">
        <v>15452</v>
      </c>
      <c r="AG13" s="109">
        <v>17488</v>
      </c>
      <c r="AH13" s="109">
        <v>16128</v>
      </c>
      <c r="AI13" s="109">
        <v>16795</v>
      </c>
    </row>
    <row r="14" spans="1:35">
      <c r="A14" s="56" t="s">
        <v>28</v>
      </c>
      <c r="D14" s="108">
        <v>13703</v>
      </c>
      <c r="E14" s="108">
        <v>15381</v>
      </c>
      <c r="F14" s="108">
        <v>13795</v>
      </c>
      <c r="G14" s="108">
        <v>15495</v>
      </c>
      <c r="H14" s="108">
        <v>14084</v>
      </c>
      <c r="I14" s="108">
        <v>15925</v>
      </c>
      <c r="J14" s="108">
        <v>15152</v>
      </c>
      <c r="K14" s="108">
        <v>17149</v>
      </c>
      <c r="L14" s="108">
        <v>16260</v>
      </c>
      <c r="M14" s="108">
        <v>17854</v>
      </c>
      <c r="N14" s="108">
        <v>17550</v>
      </c>
      <c r="O14" s="108">
        <v>20343</v>
      </c>
      <c r="P14" s="108">
        <v>19179</v>
      </c>
      <c r="Q14" s="108">
        <v>20048</v>
      </c>
      <c r="R14" s="108">
        <v>20401</v>
      </c>
      <c r="S14" s="108">
        <v>23305</v>
      </c>
      <c r="T14" s="108">
        <v>22649</v>
      </c>
      <c r="U14" s="108">
        <v>24548</v>
      </c>
      <c r="V14" s="108">
        <v>24046</v>
      </c>
      <c r="W14" s="108">
        <v>25694</v>
      </c>
      <c r="X14" s="108">
        <v>26152</v>
      </c>
      <c r="Y14" s="108">
        <v>28882</v>
      </c>
      <c r="Z14" s="108">
        <v>28661</v>
      </c>
      <c r="AA14" s="108">
        <v>32161</v>
      </c>
      <c r="AB14" s="108">
        <v>31671</v>
      </c>
      <c r="AC14" s="108">
        <v>34768</v>
      </c>
      <c r="AD14" s="108">
        <v>33745</v>
      </c>
      <c r="AE14" s="108">
        <v>35436</v>
      </c>
      <c r="AF14" s="108">
        <v>34670</v>
      </c>
      <c r="AG14" s="108">
        <v>35259</v>
      </c>
      <c r="AH14" s="108">
        <v>36729</v>
      </c>
      <c r="AI14" s="108">
        <v>39394</v>
      </c>
    </row>
    <row r="15" spans="1:35">
      <c r="A15" s="56" t="s">
        <v>29</v>
      </c>
      <c r="D15" s="70">
        <v>2962</v>
      </c>
      <c r="E15" s="70">
        <v>2900</v>
      </c>
      <c r="F15" s="70">
        <v>2980</v>
      </c>
      <c r="G15" s="70">
        <v>3146</v>
      </c>
      <c r="H15" s="70">
        <v>3106</v>
      </c>
      <c r="I15" s="70">
        <v>3062</v>
      </c>
      <c r="J15" s="70">
        <v>3355</v>
      </c>
      <c r="K15" s="70">
        <v>3514</v>
      </c>
      <c r="L15" s="70">
        <v>3574</v>
      </c>
      <c r="M15" s="70">
        <v>3504</v>
      </c>
      <c r="N15" s="70">
        <v>3715</v>
      </c>
      <c r="O15" s="70">
        <v>3933</v>
      </c>
      <c r="P15" s="70">
        <v>3977</v>
      </c>
      <c r="Q15" s="70">
        <v>4070</v>
      </c>
      <c r="R15" s="70">
        <v>4316</v>
      </c>
      <c r="S15" s="70">
        <v>4513</v>
      </c>
      <c r="T15" s="70">
        <v>4565</v>
      </c>
      <c r="U15" s="70">
        <v>4603</v>
      </c>
      <c r="V15" s="70">
        <v>4887</v>
      </c>
      <c r="W15" s="70">
        <v>5214</v>
      </c>
      <c r="X15" s="70">
        <v>4926</v>
      </c>
      <c r="Y15" s="70">
        <v>4899</v>
      </c>
      <c r="Z15" s="70">
        <v>5204</v>
      </c>
      <c r="AA15" s="70">
        <v>5687</v>
      </c>
      <c r="AB15" s="70">
        <v>5599</v>
      </c>
      <c r="AC15" s="70">
        <v>5758</v>
      </c>
      <c r="AD15" s="70">
        <v>6306</v>
      </c>
      <c r="AE15" s="70">
        <v>6849</v>
      </c>
      <c r="AF15" s="70">
        <v>6628</v>
      </c>
      <c r="AG15" s="70">
        <v>6844</v>
      </c>
      <c r="AH15" s="70">
        <v>6984</v>
      </c>
      <c r="AI15" s="70">
        <v>6739</v>
      </c>
    </row>
    <row r="16" spans="1:35">
      <c r="A16" s="56" t="s">
        <v>30</v>
      </c>
      <c r="D16" s="70">
        <v>3341</v>
      </c>
      <c r="E16" s="70">
        <v>3954</v>
      </c>
      <c r="F16" s="70">
        <v>3398</v>
      </c>
      <c r="G16" s="70">
        <v>3942</v>
      </c>
      <c r="H16" s="70">
        <v>3218</v>
      </c>
      <c r="I16" s="70">
        <v>4079</v>
      </c>
      <c r="J16" s="70">
        <v>3872</v>
      </c>
      <c r="K16" s="70">
        <v>4292</v>
      </c>
      <c r="L16" s="70">
        <v>3812</v>
      </c>
      <c r="M16" s="70">
        <v>4562</v>
      </c>
      <c r="N16" s="70">
        <v>4335</v>
      </c>
      <c r="O16" s="70">
        <v>4760</v>
      </c>
      <c r="P16" s="70">
        <v>4098</v>
      </c>
      <c r="Q16" s="70">
        <v>4588</v>
      </c>
      <c r="R16" s="70">
        <v>4565</v>
      </c>
      <c r="S16" s="70">
        <v>4962</v>
      </c>
      <c r="T16" s="70">
        <v>4337</v>
      </c>
      <c r="U16" s="70">
        <v>4933</v>
      </c>
      <c r="V16" s="70">
        <v>4911</v>
      </c>
      <c r="W16" s="70">
        <v>5417</v>
      </c>
      <c r="X16" s="70">
        <v>4231</v>
      </c>
      <c r="Y16" s="70">
        <v>4947</v>
      </c>
      <c r="Z16" s="70">
        <v>5082</v>
      </c>
      <c r="AA16" s="70">
        <v>5857</v>
      </c>
      <c r="AB16" s="70">
        <v>4547</v>
      </c>
      <c r="AC16" s="70">
        <v>5379</v>
      </c>
      <c r="AD16" s="70">
        <v>5595</v>
      </c>
      <c r="AE16" s="70">
        <v>6304</v>
      </c>
      <c r="AF16" s="70">
        <v>5126</v>
      </c>
      <c r="AG16" s="70">
        <v>5679</v>
      </c>
      <c r="AH16" s="70">
        <v>5750</v>
      </c>
      <c r="AI16" s="70">
        <v>6204</v>
      </c>
    </row>
    <row r="17" spans="1:35">
      <c r="A17" s="56" t="s">
        <v>31</v>
      </c>
      <c r="D17" s="70">
        <v>1084</v>
      </c>
      <c r="E17" s="70">
        <v>1038</v>
      </c>
      <c r="F17" s="70">
        <v>1140</v>
      </c>
      <c r="G17" s="70">
        <v>1301</v>
      </c>
      <c r="H17" s="70">
        <v>1045</v>
      </c>
      <c r="I17" s="70">
        <v>879</v>
      </c>
      <c r="J17" s="70">
        <v>1202</v>
      </c>
      <c r="K17" s="70">
        <v>1355</v>
      </c>
      <c r="L17" s="70">
        <v>1166</v>
      </c>
      <c r="M17" s="70">
        <v>1109</v>
      </c>
      <c r="N17" s="70">
        <v>1208</v>
      </c>
      <c r="O17" s="70">
        <v>1271</v>
      </c>
      <c r="P17" s="70">
        <v>1149</v>
      </c>
      <c r="Q17" s="70">
        <v>1132</v>
      </c>
      <c r="R17" s="70">
        <v>1179</v>
      </c>
      <c r="S17" s="70">
        <v>1425</v>
      </c>
      <c r="T17" s="70">
        <v>1061</v>
      </c>
      <c r="U17" s="70">
        <v>1121</v>
      </c>
      <c r="V17" s="70">
        <v>1273</v>
      </c>
      <c r="W17" s="70">
        <v>1656</v>
      </c>
      <c r="X17" s="70">
        <v>1119</v>
      </c>
      <c r="Y17" s="70">
        <v>1139</v>
      </c>
      <c r="Z17" s="70">
        <v>1327</v>
      </c>
      <c r="AA17" s="70">
        <v>1522</v>
      </c>
      <c r="AB17" s="70">
        <v>1287</v>
      </c>
      <c r="AC17" s="70">
        <v>1384</v>
      </c>
      <c r="AD17" s="70">
        <v>1480</v>
      </c>
      <c r="AE17" s="70">
        <v>1749</v>
      </c>
      <c r="AF17" s="70">
        <v>1398</v>
      </c>
      <c r="AG17" s="70">
        <v>2337</v>
      </c>
      <c r="AH17" s="70">
        <v>1643</v>
      </c>
      <c r="AI17" s="70">
        <v>2197</v>
      </c>
    </row>
    <row r="18" spans="1:35">
      <c r="A18" s="56" t="s">
        <v>167</v>
      </c>
      <c r="D18" s="70">
        <v>0</v>
      </c>
      <c r="E18" s="70">
        <v>0</v>
      </c>
      <c r="F18" s="70">
        <v>0</v>
      </c>
      <c r="G18" s="70">
        <v>1110</v>
      </c>
      <c r="H18" s="70">
        <v>0</v>
      </c>
      <c r="I18" s="70">
        <v>0</v>
      </c>
      <c r="J18" s="70">
        <v>0</v>
      </c>
      <c r="K18" s="70">
        <v>306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  <c r="Z18" s="70">
        <v>0</v>
      </c>
      <c r="AA18" s="70">
        <v>0</v>
      </c>
      <c r="AB18" s="70">
        <v>0</v>
      </c>
      <c r="AC18" s="70">
        <v>0</v>
      </c>
      <c r="AD18" s="70">
        <v>0</v>
      </c>
      <c r="AE18" s="70">
        <v>0</v>
      </c>
      <c r="AF18" s="70">
        <v>0</v>
      </c>
      <c r="AG18" s="70">
        <v>0</v>
      </c>
      <c r="AH18" s="70">
        <v>0</v>
      </c>
      <c r="AI18" s="70">
        <v>0</v>
      </c>
    </row>
    <row r="19" spans="1:35">
      <c r="A19" s="56" t="s">
        <v>32</v>
      </c>
      <c r="D19" s="127">
        <v>6316</v>
      </c>
      <c r="E19" s="127">
        <v>7489</v>
      </c>
      <c r="F19" s="127">
        <v>6277</v>
      </c>
      <c r="G19" s="127">
        <v>5996</v>
      </c>
      <c r="H19" s="127">
        <v>6715</v>
      </c>
      <c r="I19" s="127">
        <v>7905</v>
      </c>
      <c r="J19" s="127">
        <v>6723</v>
      </c>
      <c r="K19" s="127">
        <v>7682</v>
      </c>
      <c r="L19" s="127">
        <v>7708</v>
      </c>
      <c r="M19" s="127">
        <v>8679</v>
      </c>
      <c r="N19" s="127">
        <v>8292</v>
      </c>
      <c r="O19" s="127">
        <v>10379</v>
      </c>
      <c r="P19" s="127">
        <v>9955</v>
      </c>
      <c r="Q19" s="127">
        <v>10258</v>
      </c>
      <c r="R19" s="127">
        <v>10341</v>
      </c>
      <c r="S19" s="127">
        <v>12405</v>
      </c>
      <c r="T19" s="127">
        <v>12686</v>
      </c>
      <c r="U19" s="127">
        <v>13891</v>
      </c>
      <c r="V19" s="127">
        <v>12975</v>
      </c>
      <c r="W19" s="127">
        <v>13407</v>
      </c>
      <c r="X19" s="127">
        <v>15876</v>
      </c>
      <c r="Y19" s="127">
        <v>17897</v>
      </c>
      <c r="Z19" s="127">
        <v>17048</v>
      </c>
      <c r="AA19" s="127">
        <v>19095</v>
      </c>
      <c r="AB19" s="127">
        <v>20238</v>
      </c>
      <c r="AC19" s="127">
        <v>22247</v>
      </c>
      <c r="AD19" s="127">
        <v>20364</v>
      </c>
      <c r="AE19" s="127">
        <v>20534</v>
      </c>
      <c r="AF19" s="127">
        <v>21518</v>
      </c>
      <c r="AG19" s="127">
        <v>20399</v>
      </c>
      <c r="AH19" s="127">
        <v>22352</v>
      </c>
      <c r="AI19" s="127">
        <v>24254</v>
      </c>
    </row>
    <row r="20" spans="1:35">
      <c r="A20" s="56" t="s">
        <v>33</v>
      </c>
      <c r="D20" s="71">
        <v>-295</v>
      </c>
      <c r="E20" s="71">
        <v>-176</v>
      </c>
      <c r="F20" s="71">
        <v>-212</v>
      </c>
      <c r="G20" s="71">
        <v>244</v>
      </c>
      <c r="H20" s="71">
        <v>112</v>
      </c>
      <c r="I20" s="71">
        <v>117</v>
      </c>
      <c r="J20" s="71">
        <v>371</v>
      </c>
      <c r="K20" s="71">
        <v>276</v>
      </c>
      <c r="L20" s="71">
        <v>276</v>
      </c>
      <c r="M20" s="71">
        <v>490</v>
      </c>
      <c r="N20" s="71">
        <v>349</v>
      </c>
      <c r="O20" s="71">
        <v>301</v>
      </c>
      <c r="P20" s="71">
        <v>266</v>
      </c>
      <c r="Q20" s="71">
        <v>127</v>
      </c>
      <c r="R20" s="71">
        <v>145</v>
      </c>
      <c r="S20" s="71">
        <v>191</v>
      </c>
      <c r="T20" s="71">
        <v>0</v>
      </c>
      <c r="U20" s="71">
        <v>194</v>
      </c>
      <c r="V20" s="71">
        <v>-132</v>
      </c>
      <c r="W20" s="71">
        <v>15</v>
      </c>
      <c r="X20" s="71">
        <v>248</v>
      </c>
      <c r="Y20" s="71">
        <v>440</v>
      </c>
      <c r="Z20" s="71">
        <v>188</v>
      </c>
      <c r="AA20" s="71">
        <v>310</v>
      </c>
      <c r="AB20" s="71">
        <v>286</v>
      </c>
      <c r="AC20" s="71">
        <v>268</v>
      </c>
      <c r="AD20" s="71">
        <v>-174</v>
      </c>
      <c r="AE20" s="71">
        <v>-47</v>
      </c>
      <c r="AF20" s="71">
        <v>54</v>
      </c>
      <c r="AG20" s="71">
        <v>-60</v>
      </c>
      <c r="AH20" s="71">
        <v>321</v>
      </c>
      <c r="AI20" s="71">
        <v>473</v>
      </c>
    </row>
    <row r="21" spans="1:35">
      <c r="A21" s="56" t="s">
        <v>34</v>
      </c>
      <c r="D21" s="70">
        <v>6021</v>
      </c>
      <c r="E21" s="70">
        <v>7313</v>
      </c>
      <c r="F21" s="70">
        <v>6065</v>
      </c>
      <c r="G21" s="70">
        <v>6240</v>
      </c>
      <c r="H21" s="70">
        <v>6827</v>
      </c>
      <c r="I21" s="70">
        <v>8022</v>
      </c>
      <c r="J21" s="70">
        <v>7094</v>
      </c>
      <c r="K21" s="70">
        <v>7958</v>
      </c>
      <c r="L21" s="70">
        <v>7984</v>
      </c>
      <c r="M21" s="70">
        <v>9169</v>
      </c>
      <c r="N21" s="70">
        <v>8641</v>
      </c>
      <c r="O21" s="70">
        <v>10680</v>
      </c>
      <c r="P21" s="70">
        <v>10221</v>
      </c>
      <c r="Q21" s="70">
        <v>10385</v>
      </c>
      <c r="R21" s="70">
        <v>10486</v>
      </c>
      <c r="S21" s="70">
        <v>12596</v>
      </c>
      <c r="T21" s="70">
        <v>12686</v>
      </c>
      <c r="U21" s="70">
        <v>14085</v>
      </c>
      <c r="V21" s="70">
        <v>12843</v>
      </c>
      <c r="W21" s="70">
        <v>13422</v>
      </c>
      <c r="X21" s="70">
        <v>16124</v>
      </c>
      <c r="Y21" s="70">
        <v>18337</v>
      </c>
      <c r="Z21" s="70">
        <v>17236</v>
      </c>
      <c r="AA21" s="70">
        <v>19405</v>
      </c>
      <c r="AB21" s="70">
        <v>20524</v>
      </c>
      <c r="AC21" s="70">
        <v>22515</v>
      </c>
      <c r="AD21" s="70">
        <v>20190</v>
      </c>
      <c r="AE21" s="70">
        <v>20487</v>
      </c>
      <c r="AF21" s="70">
        <v>21572</v>
      </c>
      <c r="AG21" s="70">
        <v>20339</v>
      </c>
      <c r="AH21" s="70">
        <v>22673</v>
      </c>
      <c r="AI21" s="70">
        <v>24727</v>
      </c>
    </row>
    <row r="22" spans="1:35">
      <c r="A22" s="56" t="s">
        <v>168</v>
      </c>
      <c r="D22" s="71">
        <v>952</v>
      </c>
      <c r="E22" s="71">
        <v>1375</v>
      </c>
      <c r="F22" s="71">
        <v>1760</v>
      </c>
      <c r="G22" s="71">
        <v>1013</v>
      </c>
      <c r="H22" s="71">
        <v>1160</v>
      </c>
      <c r="I22" s="71">
        <v>1755</v>
      </c>
      <c r="J22" s="71">
        <v>1608</v>
      </c>
      <c r="K22" s="71">
        <v>-111</v>
      </c>
      <c r="L22" s="71">
        <v>1408</v>
      </c>
      <c r="M22" s="71">
        <v>15471</v>
      </c>
      <c r="N22" s="71">
        <v>1217</v>
      </c>
      <c r="O22" s="71">
        <v>1807</v>
      </c>
      <c r="P22" s="71">
        <v>1397</v>
      </c>
      <c r="Q22" s="71">
        <v>1965</v>
      </c>
      <c r="R22" s="71">
        <v>1677</v>
      </c>
      <c r="S22" s="71">
        <v>-591</v>
      </c>
      <c r="T22" s="71">
        <v>2008</v>
      </c>
      <c r="U22" s="71">
        <v>2436</v>
      </c>
      <c r="V22" s="71">
        <v>2091</v>
      </c>
      <c r="W22" s="71">
        <v>2220</v>
      </c>
      <c r="X22" s="71">
        <v>2231</v>
      </c>
      <c r="Y22" s="71">
        <v>2874</v>
      </c>
      <c r="Z22" s="71">
        <v>1779</v>
      </c>
      <c r="AA22" s="71">
        <v>2947</v>
      </c>
      <c r="AB22" s="71">
        <v>19</v>
      </c>
      <c r="AC22" s="71">
        <v>3750</v>
      </c>
      <c r="AD22" s="71">
        <v>3462</v>
      </c>
      <c r="AE22" s="71">
        <v>3747</v>
      </c>
      <c r="AF22" s="71">
        <v>4016</v>
      </c>
      <c r="AG22" s="71">
        <v>3914</v>
      </c>
      <c r="AH22" s="71">
        <v>4374</v>
      </c>
      <c r="AI22" s="71">
        <v>4646</v>
      </c>
    </row>
    <row r="23" spans="1:35" ht="15.6" thickBot="1">
      <c r="A23" s="56" t="s">
        <v>36</v>
      </c>
      <c r="D23" s="155">
        <v>5069</v>
      </c>
      <c r="E23" s="155">
        <v>5938</v>
      </c>
      <c r="F23" s="155">
        <v>4305</v>
      </c>
      <c r="G23" s="155">
        <v>5227</v>
      </c>
      <c r="H23" s="155">
        <v>5667</v>
      </c>
      <c r="I23" s="155">
        <v>6267</v>
      </c>
      <c r="J23" s="155">
        <v>5486</v>
      </c>
      <c r="K23" s="155">
        <v>8069</v>
      </c>
      <c r="L23" s="155">
        <v>6576</v>
      </c>
      <c r="M23" s="155">
        <v>-6302</v>
      </c>
      <c r="N23" s="155">
        <v>7424</v>
      </c>
      <c r="O23" s="155">
        <v>8873</v>
      </c>
      <c r="P23" s="155">
        <v>8824</v>
      </c>
      <c r="Q23" s="155">
        <v>8420</v>
      </c>
      <c r="R23" s="155">
        <v>8809</v>
      </c>
      <c r="S23" s="155">
        <v>13187</v>
      </c>
      <c r="T23" s="155">
        <v>10678</v>
      </c>
      <c r="U23" s="155">
        <v>11649</v>
      </c>
      <c r="V23" s="155">
        <v>10752</v>
      </c>
      <c r="W23" s="155">
        <v>11202</v>
      </c>
      <c r="X23" s="155">
        <v>13893</v>
      </c>
      <c r="Y23" s="155">
        <v>15463</v>
      </c>
      <c r="Z23" s="155">
        <v>15457</v>
      </c>
      <c r="AA23" s="155">
        <v>16458</v>
      </c>
      <c r="AB23" s="155">
        <v>20505</v>
      </c>
      <c r="AC23" s="155">
        <v>18765</v>
      </c>
      <c r="AD23" s="155">
        <v>16728</v>
      </c>
      <c r="AE23" s="155">
        <v>16740</v>
      </c>
      <c r="AF23" s="155">
        <v>17556</v>
      </c>
      <c r="AG23" s="155">
        <v>16425</v>
      </c>
      <c r="AH23" s="155">
        <v>18299</v>
      </c>
      <c r="AI23" s="155">
        <v>20081</v>
      </c>
    </row>
    <row r="24" spans="1:35">
      <c r="A24" s="56" t="s">
        <v>169</v>
      </c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</row>
    <row r="25" spans="1:35">
      <c r="A25" s="56" t="s">
        <v>38</v>
      </c>
      <c r="D25" s="164">
        <v>0.63</v>
      </c>
      <c r="E25" s="164">
        <v>0.75</v>
      </c>
      <c r="F25" s="164">
        <v>0.55000000000000004</v>
      </c>
      <c r="G25" s="164">
        <v>0.67</v>
      </c>
      <c r="H25" s="164">
        <v>0.73</v>
      </c>
      <c r="I25" s="164">
        <v>0.81</v>
      </c>
      <c r="J25" s="164">
        <v>0.71</v>
      </c>
      <c r="K25" s="164">
        <v>1.05</v>
      </c>
      <c r="L25" s="164">
        <v>0.85</v>
      </c>
      <c r="M25" s="164">
        <v>-0.82</v>
      </c>
      <c r="N25" s="164">
        <v>0.96</v>
      </c>
      <c r="O25" s="164">
        <v>1.1499999999999999</v>
      </c>
      <c r="P25" s="164">
        <v>1.1499999999999999</v>
      </c>
      <c r="Q25" s="164">
        <v>1.0900000000000001</v>
      </c>
      <c r="R25" s="164">
        <v>1.1499999999999999</v>
      </c>
      <c r="S25" s="164">
        <v>1.72</v>
      </c>
      <c r="T25" s="164">
        <v>1.4</v>
      </c>
      <c r="U25" s="164">
        <v>1.53</v>
      </c>
      <c r="V25" s="164">
        <v>1.41</v>
      </c>
      <c r="W25" s="164">
        <v>1.48</v>
      </c>
      <c r="X25" s="164">
        <v>1.84</v>
      </c>
      <c r="Y25" s="164">
        <v>2.0499999999999998</v>
      </c>
      <c r="Z25" s="164">
        <v>2.0499999999999998</v>
      </c>
      <c r="AA25" s="164">
        <v>2.19</v>
      </c>
      <c r="AB25" s="164">
        <v>2.73</v>
      </c>
      <c r="AC25" s="164">
        <v>2.5</v>
      </c>
      <c r="AD25" s="164">
        <v>2.23</v>
      </c>
      <c r="AE25" s="164">
        <v>2.2400000000000002</v>
      </c>
      <c r="AF25" s="164">
        <v>2.35</v>
      </c>
      <c r="AG25" s="164">
        <v>2.2000000000000002</v>
      </c>
      <c r="AH25" s="164">
        <v>2.46</v>
      </c>
      <c r="AI25" s="164">
        <v>2.7</v>
      </c>
    </row>
    <row r="26" spans="1:35">
      <c r="A26" s="56" t="s">
        <v>39</v>
      </c>
      <c r="D26" s="164">
        <v>0.63</v>
      </c>
      <c r="E26" s="164">
        <v>0.74</v>
      </c>
      <c r="F26" s="164">
        <v>0.54</v>
      </c>
      <c r="G26" s="164">
        <v>0.66</v>
      </c>
      <c r="H26" s="164">
        <v>0.72</v>
      </c>
      <c r="I26" s="164">
        <v>0.8</v>
      </c>
      <c r="J26" s="164">
        <v>0.7</v>
      </c>
      <c r="K26" s="164">
        <v>1.03</v>
      </c>
      <c r="L26" s="164">
        <v>0.84</v>
      </c>
      <c r="M26" s="164">
        <v>-0.82</v>
      </c>
      <c r="N26" s="164">
        <v>0.95</v>
      </c>
      <c r="O26" s="164">
        <v>1.1399999999999999</v>
      </c>
      <c r="P26" s="164">
        <v>1.1399999999999999</v>
      </c>
      <c r="Q26" s="164">
        <v>1.08</v>
      </c>
      <c r="R26" s="164">
        <v>1.1399999999999999</v>
      </c>
      <c r="S26" s="164">
        <v>1.71</v>
      </c>
      <c r="T26" s="164">
        <v>1.38</v>
      </c>
      <c r="U26" s="164">
        <v>1.51</v>
      </c>
      <c r="V26" s="164">
        <v>1.4</v>
      </c>
      <c r="W26" s="164">
        <v>1.46</v>
      </c>
      <c r="X26" s="164">
        <v>1.82</v>
      </c>
      <c r="Y26" s="164">
        <v>2.0299999999999998</v>
      </c>
      <c r="Z26" s="164">
        <v>2.0299999999999998</v>
      </c>
      <c r="AA26" s="164">
        <v>2.17</v>
      </c>
      <c r="AB26" s="164">
        <v>2.71</v>
      </c>
      <c r="AC26" s="164">
        <v>2.48</v>
      </c>
      <c r="AD26" s="164">
        <v>2.2200000000000002</v>
      </c>
      <c r="AE26" s="164">
        <v>2.23</v>
      </c>
      <c r="AF26" s="164">
        <v>2.35</v>
      </c>
      <c r="AG26" s="164">
        <v>2.2000000000000002</v>
      </c>
      <c r="AH26" s="164">
        <v>2.4500000000000002</v>
      </c>
      <c r="AI26" s="164">
        <v>2.69</v>
      </c>
    </row>
    <row r="27" spans="1:35"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</row>
    <row r="29" spans="1:35">
      <c r="A29" s="73"/>
      <c r="B29" s="73"/>
    </row>
    <row r="30" spans="1:35">
      <c r="A30" s="73"/>
      <c r="B30" s="73"/>
    </row>
    <row r="31" spans="1:35">
      <c r="A31" s="75"/>
      <c r="B31" s="75"/>
    </row>
    <row r="32" spans="1:35">
      <c r="A32" s="75"/>
      <c r="B32" s="75"/>
    </row>
    <row r="33" spans="1:3">
      <c r="A33" s="75"/>
      <c r="B33" s="75"/>
    </row>
    <row r="34" spans="1:3">
      <c r="A34" s="75"/>
    </row>
    <row r="35" spans="1:3">
      <c r="C35" s="65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"/>
  <sheetViews>
    <sheetView showGridLines="0" workbookViewId="0"/>
  </sheetViews>
  <sheetFormatPr defaultColWidth="9" defaultRowHeight="15"/>
  <cols>
    <col min="1" max="1" width="34" style="7" customWidth="1"/>
    <col min="2" max="5" width="10" style="7" bestFit="1" customWidth="1"/>
    <col min="6" max="6" width="11.44140625" style="7" customWidth="1"/>
    <col min="7" max="7" width="9" style="7"/>
    <col min="8" max="8" width="10" style="7" bestFit="1" customWidth="1"/>
    <col min="9" max="11" width="9" style="7"/>
    <col min="12" max="12" width="12.88671875" style="7" customWidth="1"/>
    <col min="13" max="16384" width="9" style="7"/>
  </cols>
  <sheetData>
    <row r="1" spans="1:12">
      <c r="A1" s="77" t="s">
        <v>133</v>
      </c>
      <c r="B1" s="77"/>
      <c r="C1" s="77"/>
      <c r="D1" s="67" t="s">
        <v>17</v>
      </c>
      <c r="E1" s="78"/>
      <c r="F1" s="78"/>
      <c r="G1" s="56"/>
      <c r="H1" s="56"/>
      <c r="I1" s="56"/>
      <c r="J1" s="56"/>
      <c r="K1" s="56"/>
      <c r="L1" s="56"/>
    </row>
    <row r="2" spans="1:12">
      <c r="A2" s="79" t="s">
        <v>170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56"/>
    </row>
    <row r="3" spans="1:12">
      <c r="A3" s="80" t="s">
        <v>171</v>
      </c>
      <c r="B3" s="80"/>
      <c r="C3" s="80"/>
      <c r="D3" s="56"/>
      <c r="E3" s="78"/>
      <c r="F3" s="78"/>
      <c r="G3" s="56"/>
      <c r="H3" s="56"/>
      <c r="I3" s="56"/>
      <c r="J3" s="56"/>
      <c r="K3" s="56"/>
      <c r="L3" s="56"/>
    </row>
    <row r="4" spans="1:12">
      <c r="A4" s="79"/>
      <c r="B4" s="262"/>
      <c r="C4" s="262"/>
      <c r="D4" s="262"/>
      <c r="E4" s="262"/>
      <c r="F4" s="81"/>
      <c r="G4" s="56"/>
      <c r="H4" s="262"/>
      <c r="I4" s="262"/>
      <c r="J4" s="262"/>
      <c r="K4" s="262"/>
      <c r="L4" s="82"/>
    </row>
    <row r="5" spans="1:12" ht="30">
      <c r="A5" s="79" t="s">
        <v>126</v>
      </c>
      <c r="B5" s="83" t="s">
        <v>159</v>
      </c>
      <c r="C5" s="83" t="s">
        <v>160</v>
      </c>
      <c r="D5" s="83" t="s">
        <v>161</v>
      </c>
      <c r="E5" s="84" t="s">
        <v>162</v>
      </c>
      <c r="F5" s="85" t="s">
        <v>172</v>
      </c>
      <c r="G5" s="86"/>
      <c r="H5" s="83" t="s">
        <v>163</v>
      </c>
      <c r="I5" s="83" t="s">
        <v>164</v>
      </c>
      <c r="J5" s="83" t="s">
        <v>165</v>
      </c>
      <c r="K5" s="84" t="s">
        <v>166</v>
      </c>
      <c r="L5" s="85" t="s">
        <v>173</v>
      </c>
    </row>
    <row r="6" spans="1:12">
      <c r="A6" s="55" t="s">
        <v>127</v>
      </c>
      <c r="B6" s="156">
        <v>15039</v>
      </c>
      <c r="C6" s="156">
        <v>15936</v>
      </c>
      <c r="D6" s="156">
        <v>15789</v>
      </c>
      <c r="E6" s="156">
        <v>16600</v>
      </c>
      <c r="F6" s="156">
        <v>63364</v>
      </c>
      <c r="G6" s="157"/>
      <c r="H6" s="156">
        <v>16465</v>
      </c>
      <c r="I6" s="158">
        <v>17002</v>
      </c>
      <c r="J6" s="156">
        <v>17516</v>
      </c>
      <c r="K6" s="156">
        <v>18291</v>
      </c>
      <c r="L6" s="156">
        <v>69274</v>
      </c>
    </row>
    <row r="7" spans="1:12">
      <c r="A7" s="55" t="s">
        <v>128</v>
      </c>
      <c r="B7" s="88">
        <v>16912</v>
      </c>
      <c r="C7" s="88">
        <v>18262</v>
      </c>
      <c r="D7" s="88">
        <v>18987</v>
      </c>
      <c r="E7" s="88">
        <v>20804</v>
      </c>
      <c r="F7" s="88">
        <v>74965</v>
      </c>
      <c r="G7" s="87"/>
      <c r="H7" s="89">
        <v>20325</v>
      </c>
      <c r="I7" s="90">
        <v>21508</v>
      </c>
      <c r="J7" s="88">
        <v>22081</v>
      </c>
      <c r="K7" s="88">
        <v>23993</v>
      </c>
      <c r="L7" s="89">
        <v>87907</v>
      </c>
    </row>
    <row r="8" spans="1:12">
      <c r="A8" s="55" t="s">
        <v>129</v>
      </c>
      <c r="B8" s="88">
        <v>13366</v>
      </c>
      <c r="C8" s="88">
        <v>17530</v>
      </c>
      <c r="D8" s="88">
        <v>14584</v>
      </c>
      <c r="E8" s="88">
        <v>14461</v>
      </c>
      <c r="F8" s="88">
        <v>59941</v>
      </c>
      <c r="G8" s="87"/>
      <c r="H8" s="89">
        <v>13332</v>
      </c>
      <c r="I8" s="90">
        <v>14237</v>
      </c>
      <c r="J8" s="88">
        <v>13260</v>
      </c>
      <c r="K8" s="88">
        <v>13905</v>
      </c>
      <c r="L8" s="89">
        <v>54734</v>
      </c>
    </row>
    <row r="9" spans="1:12" ht="15.6" thickBot="1">
      <c r="A9" s="122" t="s">
        <v>130</v>
      </c>
      <c r="B9" s="159">
        <v>45317</v>
      </c>
      <c r="C9" s="159">
        <v>51728</v>
      </c>
      <c r="D9" s="159">
        <v>49360</v>
      </c>
      <c r="E9" s="159">
        <v>51865</v>
      </c>
      <c r="F9" s="159">
        <v>198270</v>
      </c>
      <c r="G9" s="160"/>
      <c r="H9" s="159">
        <v>50122</v>
      </c>
      <c r="I9" s="161">
        <v>52747</v>
      </c>
      <c r="J9" s="159">
        <v>52857</v>
      </c>
      <c r="K9" s="159">
        <v>56189</v>
      </c>
      <c r="L9" s="159">
        <v>211915</v>
      </c>
    </row>
    <row r="10" spans="1:12">
      <c r="A10" s="56"/>
      <c r="B10" s="56"/>
      <c r="C10" s="91"/>
      <c r="D10" s="92"/>
      <c r="E10" s="91"/>
      <c r="F10" s="91"/>
      <c r="G10" s="91"/>
      <c r="H10" s="91"/>
      <c r="I10" s="91"/>
      <c r="J10" s="92"/>
      <c r="K10" s="92"/>
      <c r="L10" s="92"/>
    </row>
    <row r="11" spans="1:12">
      <c r="A11" s="56"/>
      <c r="B11" s="262"/>
      <c r="C11" s="262"/>
      <c r="D11" s="262"/>
      <c r="E11" s="262"/>
      <c r="F11" s="81"/>
      <c r="G11" s="56"/>
      <c r="H11" s="262"/>
      <c r="I11" s="262"/>
      <c r="J11" s="262"/>
      <c r="K11" s="262"/>
      <c r="L11" s="82"/>
    </row>
    <row r="12" spans="1:12" ht="30">
      <c r="A12" s="53" t="s">
        <v>131</v>
      </c>
      <c r="B12" s="83" t="s">
        <v>159</v>
      </c>
      <c r="C12" s="83" t="s">
        <v>160</v>
      </c>
      <c r="D12" s="83" t="s">
        <v>161</v>
      </c>
      <c r="E12" s="84" t="s">
        <v>162</v>
      </c>
      <c r="F12" s="85" t="s">
        <v>172</v>
      </c>
      <c r="G12" s="86"/>
      <c r="H12" s="83" t="s">
        <v>163</v>
      </c>
      <c r="I12" s="83" t="s">
        <v>164</v>
      </c>
      <c r="J12" s="83" t="s">
        <v>165</v>
      </c>
      <c r="K12" s="84" t="s">
        <v>166</v>
      </c>
      <c r="L12" s="85" t="s">
        <v>173</v>
      </c>
    </row>
    <row r="13" spans="1:12">
      <c r="A13" s="55" t="s">
        <v>127</v>
      </c>
      <c r="B13" s="156">
        <v>7581</v>
      </c>
      <c r="C13" s="156">
        <v>7688</v>
      </c>
      <c r="D13" s="156">
        <v>7185</v>
      </c>
      <c r="E13" s="156">
        <v>7236</v>
      </c>
      <c r="F13" s="156">
        <v>29690</v>
      </c>
      <c r="G13" s="157"/>
      <c r="H13" s="156">
        <v>8323</v>
      </c>
      <c r="I13" s="158">
        <v>8175</v>
      </c>
      <c r="J13" s="156">
        <v>8639</v>
      </c>
      <c r="K13" s="156">
        <v>9052</v>
      </c>
      <c r="L13" s="156">
        <v>34189</v>
      </c>
    </row>
    <row r="14" spans="1:12">
      <c r="A14" s="55" t="s">
        <v>128</v>
      </c>
      <c r="B14" s="88">
        <v>7681</v>
      </c>
      <c r="C14" s="88">
        <v>8323</v>
      </c>
      <c r="D14" s="88">
        <v>8391</v>
      </c>
      <c r="E14" s="88">
        <v>8808</v>
      </c>
      <c r="F14" s="88">
        <v>33203</v>
      </c>
      <c r="G14" s="87"/>
      <c r="H14" s="88">
        <v>8978</v>
      </c>
      <c r="I14" s="93">
        <v>8904</v>
      </c>
      <c r="J14" s="88">
        <v>9476</v>
      </c>
      <c r="K14" s="88">
        <v>10526</v>
      </c>
      <c r="L14" s="88">
        <v>37884</v>
      </c>
    </row>
    <row r="15" spans="1:12">
      <c r="A15" s="55" t="s">
        <v>129</v>
      </c>
      <c r="B15" s="88">
        <v>4976</v>
      </c>
      <c r="C15" s="88">
        <v>6236</v>
      </c>
      <c r="D15" s="88">
        <v>4788</v>
      </c>
      <c r="E15" s="88">
        <v>4490</v>
      </c>
      <c r="F15" s="88">
        <v>20490</v>
      </c>
      <c r="G15" s="87"/>
      <c r="H15" s="88">
        <v>4217</v>
      </c>
      <c r="I15" s="93">
        <v>3320</v>
      </c>
      <c r="J15" s="88">
        <v>4237</v>
      </c>
      <c r="K15" s="88">
        <v>4676</v>
      </c>
      <c r="L15" s="88">
        <v>16450</v>
      </c>
    </row>
    <row r="16" spans="1:12" ht="15.6" thickBot="1">
      <c r="A16" s="122" t="s">
        <v>130</v>
      </c>
      <c r="B16" s="159">
        <v>20238</v>
      </c>
      <c r="C16" s="159">
        <v>22247</v>
      </c>
      <c r="D16" s="159">
        <v>20364</v>
      </c>
      <c r="E16" s="159">
        <v>20534</v>
      </c>
      <c r="F16" s="159">
        <v>83383</v>
      </c>
      <c r="G16" s="160"/>
      <c r="H16" s="159">
        <v>21518</v>
      </c>
      <c r="I16" s="161">
        <v>20399</v>
      </c>
      <c r="J16" s="159">
        <v>22352</v>
      </c>
      <c r="K16" s="159">
        <v>24254</v>
      </c>
      <c r="L16" s="159">
        <v>88523</v>
      </c>
    </row>
    <row r="18" spans="1:1">
      <c r="A18" s="7" t="s">
        <v>132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H18"/>
  <sheetViews>
    <sheetView showGridLines="0" zoomScaleNormal="100" workbookViewId="0"/>
  </sheetViews>
  <sheetFormatPr defaultColWidth="9" defaultRowHeight="15"/>
  <cols>
    <col min="1" max="1" width="2.5546875" style="7" customWidth="1"/>
    <col min="2" max="2" width="28" style="7" customWidth="1"/>
    <col min="3" max="13" width="10.5546875" style="7" bestFit="1" customWidth="1"/>
    <col min="14" max="32" width="10.5546875" style="7" customWidth="1"/>
    <col min="33" max="16384" width="9" style="7"/>
  </cols>
  <sheetData>
    <row r="1" spans="1:34">
      <c r="A1" s="77" t="s">
        <v>133</v>
      </c>
      <c r="C1" s="76" t="s">
        <v>17</v>
      </c>
      <c r="AD1" s="186"/>
      <c r="AE1" s="186"/>
      <c r="AF1" s="186"/>
      <c r="AG1" s="186"/>
    </row>
    <row r="2" spans="1:34">
      <c r="A2" s="94" t="s">
        <v>9</v>
      </c>
      <c r="AD2" s="186"/>
      <c r="AE2" s="186"/>
      <c r="AF2" s="186"/>
      <c r="AG2" s="186"/>
    </row>
    <row r="3" spans="1:34">
      <c r="A3" s="94"/>
      <c r="AD3" s="186"/>
      <c r="AE3" s="186"/>
      <c r="AF3" s="186"/>
      <c r="AG3" s="186"/>
      <c r="AH3" s="192"/>
    </row>
    <row r="4" spans="1:34">
      <c r="A4" s="22"/>
      <c r="B4" s="22"/>
      <c r="C4" s="95" t="s">
        <v>135</v>
      </c>
      <c r="D4" s="95" t="s">
        <v>136</v>
      </c>
      <c r="E4" s="95" t="s">
        <v>137</v>
      </c>
      <c r="F4" s="95" t="s">
        <v>138</v>
      </c>
      <c r="G4" s="95" t="s">
        <v>139</v>
      </c>
      <c r="H4" s="95" t="s">
        <v>140</v>
      </c>
      <c r="I4" s="95" t="s">
        <v>141</v>
      </c>
      <c r="J4" s="95" t="s">
        <v>142</v>
      </c>
      <c r="K4" s="95" t="s">
        <v>143</v>
      </c>
      <c r="L4" s="95" t="s">
        <v>144</v>
      </c>
      <c r="M4" s="95" t="s">
        <v>145</v>
      </c>
      <c r="N4" s="95" t="s">
        <v>146</v>
      </c>
      <c r="O4" s="95" t="s">
        <v>147</v>
      </c>
      <c r="P4" s="95" t="s">
        <v>148</v>
      </c>
      <c r="Q4" s="95" t="s">
        <v>149</v>
      </c>
      <c r="R4" s="95" t="s">
        <v>150</v>
      </c>
      <c r="S4" s="95" t="s">
        <v>151</v>
      </c>
      <c r="T4" s="95" t="s">
        <v>152</v>
      </c>
      <c r="U4" s="95" t="s">
        <v>153</v>
      </c>
      <c r="V4" s="95" t="s">
        <v>154</v>
      </c>
      <c r="W4" s="95" t="s">
        <v>155</v>
      </c>
      <c r="X4" s="95" t="s">
        <v>156</v>
      </c>
      <c r="Y4" s="95" t="s">
        <v>157</v>
      </c>
      <c r="Z4" s="95" t="s">
        <v>158</v>
      </c>
      <c r="AA4" s="95" t="s">
        <v>159</v>
      </c>
      <c r="AB4" s="95" t="s">
        <v>160</v>
      </c>
      <c r="AC4" s="95" t="s">
        <v>161</v>
      </c>
      <c r="AD4" s="95" t="s">
        <v>162</v>
      </c>
      <c r="AE4" s="95" t="s">
        <v>163</v>
      </c>
      <c r="AF4" s="95" t="s">
        <v>164</v>
      </c>
      <c r="AG4" s="95" t="s">
        <v>165</v>
      </c>
      <c r="AH4" s="95" t="s">
        <v>166</v>
      </c>
    </row>
    <row r="5" spans="1:34">
      <c r="AD5" s="186"/>
      <c r="AE5" s="186"/>
      <c r="AF5" s="186"/>
      <c r="AG5" s="186"/>
      <c r="AH5" s="186"/>
    </row>
    <row r="6" spans="1:34">
      <c r="A6" s="96" t="s">
        <v>174</v>
      </c>
      <c r="AD6" s="186"/>
      <c r="AE6" s="186"/>
      <c r="AF6" s="186"/>
      <c r="AG6" s="186"/>
      <c r="AH6" s="186"/>
    </row>
    <row r="7" spans="1:34">
      <c r="A7" s="97" t="s">
        <v>127</v>
      </c>
      <c r="C7" s="162">
        <v>8718</v>
      </c>
      <c r="D7" s="162">
        <v>8257</v>
      </c>
      <c r="E7" s="162">
        <v>8006</v>
      </c>
      <c r="F7" s="162">
        <v>10673</v>
      </c>
      <c r="G7" s="162">
        <v>9656</v>
      </c>
      <c r="H7" s="162">
        <v>9839</v>
      </c>
      <c r="I7" s="162">
        <v>9697</v>
      </c>
      <c r="J7" s="162">
        <v>12692</v>
      </c>
      <c r="K7" s="162">
        <v>11808</v>
      </c>
      <c r="L7" s="162">
        <v>11290</v>
      </c>
      <c r="M7" s="162">
        <v>11185</v>
      </c>
      <c r="N7" s="162">
        <v>14864</v>
      </c>
      <c r="O7" s="162">
        <v>13753</v>
      </c>
      <c r="P7" s="162">
        <v>12635</v>
      </c>
      <c r="Q7" s="162">
        <v>12679</v>
      </c>
      <c r="R7" s="162">
        <v>16831</v>
      </c>
      <c r="S7" s="162">
        <v>15560</v>
      </c>
      <c r="T7" s="162">
        <v>14266</v>
      </c>
      <c r="U7" s="162">
        <v>14077</v>
      </c>
      <c r="V7" s="162">
        <v>18643</v>
      </c>
      <c r="W7" s="162">
        <v>17675</v>
      </c>
      <c r="X7" s="162">
        <v>16225</v>
      </c>
      <c r="Y7" s="162">
        <v>16169</v>
      </c>
      <c r="Z7" s="162">
        <v>22120</v>
      </c>
      <c r="AA7" s="162">
        <v>20565</v>
      </c>
      <c r="AB7" s="162">
        <v>18494</v>
      </c>
      <c r="AC7" s="162">
        <v>18578</v>
      </c>
      <c r="AD7" s="162">
        <v>24558</v>
      </c>
      <c r="AE7" s="162">
        <v>22405</v>
      </c>
      <c r="AF7" s="162">
        <v>20120</v>
      </c>
      <c r="AG7" s="162">
        <v>20504</v>
      </c>
      <c r="AH7" s="162">
        <v>27572</v>
      </c>
    </row>
    <row r="8" spans="1:34">
      <c r="A8" s="97" t="s">
        <v>128</v>
      </c>
      <c r="C8" s="98">
        <v>7107</v>
      </c>
      <c r="D8" s="98">
        <v>6702</v>
      </c>
      <c r="E8" s="98">
        <v>6679</v>
      </c>
      <c r="F8" s="98">
        <v>8913</v>
      </c>
      <c r="G8" s="98">
        <v>8057</v>
      </c>
      <c r="H8" s="98">
        <v>7676</v>
      </c>
      <c r="I8" s="98">
        <v>7735</v>
      </c>
      <c r="J8" s="98">
        <v>11152</v>
      </c>
      <c r="K8" s="98">
        <v>10156</v>
      </c>
      <c r="L8" s="98">
        <v>9759</v>
      </c>
      <c r="M8" s="98">
        <v>9987</v>
      </c>
      <c r="N8" s="98">
        <v>14706</v>
      </c>
      <c r="O8" s="98">
        <v>13298</v>
      </c>
      <c r="P8" s="98">
        <v>12551</v>
      </c>
      <c r="Q8" s="98">
        <v>12531</v>
      </c>
      <c r="R8" s="98">
        <v>16988</v>
      </c>
      <c r="S8" s="98">
        <v>15255</v>
      </c>
      <c r="T8" s="98">
        <v>13766</v>
      </c>
      <c r="U8" s="98">
        <v>12984</v>
      </c>
      <c r="V8" s="98">
        <v>16620</v>
      </c>
      <c r="W8" s="98">
        <v>15039</v>
      </c>
      <c r="X8" s="98">
        <v>13786</v>
      </c>
      <c r="Y8" s="98">
        <v>13098</v>
      </c>
      <c r="Z8" s="98">
        <v>17710</v>
      </c>
      <c r="AA8" s="98">
        <v>16117</v>
      </c>
      <c r="AB8" s="98">
        <v>14549</v>
      </c>
      <c r="AC8" s="98">
        <v>14524</v>
      </c>
      <c r="AD8" s="98">
        <v>19371</v>
      </c>
      <c r="AE8" s="98">
        <v>17294</v>
      </c>
      <c r="AF8" s="98">
        <v>15822</v>
      </c>
      <c r="AG8" s="98">
        <v>15552</v>
      </c>
      <c r="AH8" s="98">
        <v>21563</v>
      </c>
    </row>
    <row r="9" spans="1:34">
      <c r="A9" s="97" t="s">
        <v>129</v>
      </c>
      <c r="C9" s="109">
        <v>2366</v>
      </c>
      <c r="D9" s="109">
        <v>2393</v>
      </c>
      <c r="E9" s="109">
        <v>2427</v>
      </c>
      <c r="F9" s="109">
        <v>2607</v>
      </c>
      <c r="G9" s="109">
        <v>2657</v>
      </c>
      <c r="H9" s="109">
        <v>2476</v>
      </c>
      <c r="I9" s="109">
        <v>2472</v>
      </c>
      <c r="J9" s="109">
        <v>2812</v>
      </c>
      <c r="K9" s="109">
        <v>2940</v>
      </c>
      <c r="L9" s="109">
        <v>2760</v>
      </c>
      <c r="M9" s="109">
        <v>2783</v>
      </c>
      <c r="N9" s="109">
        <v>3150</v>
      </c>
      <c r="O9" s="109">
        <v>3191</v>
      </c>
      <c r="P9" s="109">
        <v>2898</v>
      </c>
      <c r="Q9" s="109">
        <v>2925</v>
      </c>
      <c r="R9" s="109">
        <v>3387</v>
      </c>
      <c r="S9" s="109">
        <v>3211</v>
      </c>
      <c r="T9" s="109">
        <v>3189</v>
      </c>
      <c r="U9" s="109">
        <v>3336</v>
      </c>
      <c r="V9" s="109">
        <v>3917</v>
      </c>
      <c r="W9" s="109">
        <v>3591</v>
      </c>
      <c r="X9" s="109">
        <v>3376</v>
      </c>
      <c r="Y9" s="109">
        <v>3447</v>
      </c>
      <c r="Z9" s="109">
        <v>4311</v>
      </c>
      <c r="AA9" s="109">
        <v>4333</v>
      </c>
      <c r="AB9" s="109">
        <v>3726</v>
      </c>
      <c r="AC9" s="109">
        <v>3694</v>
      </c>
      <c r="AD9" s="109">
        <v>4479</v>
      </c>
      <c r="AE9" s="109">
        <v>4190</v>
      </c>
      <c r="AF9" s="109">
        <v>3684</v>
      </c>
      <c r="AG9" s="109">
        <v>3545</v>
      </c>
      <c r="AH9" s="109">
        <v>4678</v>
      </c>
    </row>
    <row r="10" spans="1:34" ht="15.6" thickBot="1">
      <c r="A10" s="97" t="s">
        <v>175</v>
      </c>
      <c r="C10" s="137">
        <v>18191</v>
      </c>
      <c r="D10" s="137">
        <v>17352</v>
      </c>
      <c r="E10" s="137">
        <v>17112</v>
      </c>
      <c r="F10" s="137">
        <v>22193</v>
      </c>
      <c r="G10" s="137">
        <v>20370</v>
      </c>
      <c r="H10" s="137">
        <v>19991</v>
      </c>
      <c r="I10" s="137">
        <v>19904</v>
      </c>
      <c r="J10" s="137">
        <v>26656</v>
      </c>
      <c r="K10" s="137">
        <v>24904</v>
      </c>
      <c r="L10" s="137">
        <v>23809</v>
      </c>
      <c r="M10" s="137">
        <v>23955</v>
      </c>
      <c r="N10" s="137">
        <v>32720</v>
      </c>
      <c r="O10" s="137">
        <v>30242</v>
      </c>
      <c r="P10" s="137">
        <v>28084</v>
      </c>
      <c r="Q10" s="137">
        <v>28135</v>
      </c>
      <c r="R10" s="137">
        <v>37206</v>
      </c>
      <c r="S10" s="137">
        <v>34026</v>
      </c>
      <c r="T10" s="137">
        <v>31221</v>
      </c>
      <c r="U10" s="137">
        <v>30397</v>
      </c>
      <c r="V10" s="137">
        <v>39180</v>
      </c>
      <c r="W10" s="137">
        <v>36305</v>
      </c>
      <c r="X10" s="137">
        <v>33387</v>
      </c>
      <c r="Y10" s="137">
        <v>32714</v>
      </c>
      <c r="Z10" s="137">
        <v>44141</v>
      </c>
      <c r="AA10" s="137">
        <v>41015</v>
      </c>
      <c r="AB10" s="137">
        <v>36769</v>
      </c>
      <c r="AC10" s="137">
        <v>36796</v>
      </c>
      <c r="AD10" s="137">
        <v>48408</v>
      </c>
      <c r="AE10" s="137">
        <v>43889</v>
      </c>
      <c r="AF10" s="137">
        <v>39626</v>
      </c>
      <c r="AG10" s="137">
        <v>39601</v>
      </c>
      <c r="AH10" s="137">
        <v>53813</v>
      </c>
    </row>
    <row r="11" spans="1:34">
      <c r="A11" s="96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187"/>
      <c r="AE11" s="187"/>
      <c r="AF11" s="187"/>
      <c r="AG11" s="187"/>
      <c r="AH11" s="187"/>
    </row>
    <row r="12" spans="1:34">
      <c r="A12" s="96" t="s">
        <v>176</v>
      </c>
      <c r="AD12" s="186"/>
      <c r="AE12" s="186"/>
      <c r="AF12" s="186"/>
      <c r="AG12" s="186"/>
      <c r="AH12" s="186"/>
    </row>
    <row r="13" spans="1:34">
      <c r="A13" s="97" t="s">
        <v>127</v>
      </c>
      <c r="C13" s="100">
        <v>0.48</v>
      </c>
      <c r="D13" s="100">
        <v>0.47</v>
      </c>
      <c r="E13" s="100">
        <v>0.47</v>
      </c>
      <c r="F13" s="100">
        <v>0.48</v>
      </c>
      <c r="G13" s="100">
        <v>0.47</v>
      </c>
      <c r="H13" s="100">
        <v>0.49</v>
      </c>
      <c r="I13" s="100">
        <v>0.49</v>
      </c>
      <c r="J13" s="100">
        <v>0.48</v>
      </c>
      <c r="K13" s="100">
        <v>0.47</v>
      </c>
      <c r="L13" s="100">
        <v>0.47</v>
      </c>
      <c r="M13" s="100">
        <v>0.47</v>
      </c>
      <c r="N13" s="100">
        <v>0.45</v>
      </c>
      <c r="O13" s="100">
        <v>0.45</v>
      </c>
      <c r="P13" s="100">
        <v>0.45</v>
      </c>
      <c r="Q13" s="100">
        <v>0.45</v>
      </c>
      <c r="R13" s="100">
        <v>0.45</v>
      </c>
      <c r="S13" s="100">
        <v>0.46</v>
      </c>
      <c r="T13" s="100">
        <v>0.46</v>
      </c>
      <c r="U13" s="100">
        <v>0.46</v>
      </c>
      <c r="V13" s="100">
        <v>0.48</v>
      </c>
      <c r="W13" s="100">
        <v>0.49</v>
      </c>
      <c r="X13" s="100">
        <v>0.49</v>
      </c>
      <c r="Y13" s="100">
        <v>0.49</v>
      </c>
      <c r="Z13" s="100">
        <v>0.5</v>
      </c>
      <c r="AA13" s="100">
        <v>0.5</v>
      </c>
      <c r="AB13" s="100">
        <v>0.5</v>
      </c>
      <c r="AC13" s="100">
        <v>0.51</v>
      </c>
      <c r="AD13" s="100">
        <v>0.51</v>
      </c>
      <c r="AE13" s="100">
        <v>0.51</v>
      </c>
      <c r="AF13" s="100">
        <v>0.51</v>
      </c>
      <c r="AG13" s="100">
        <v>0.52</v>
      </c>
      <c r="AH13" s="100">
        <v>0.51</v>
      </c>
    </row>
    <row r="14" spans="1:34">
      <c r="A14" s="97" t="s">
        <v>128</v>
      </c>
      <c r="C14" s="100">
        <v>0.39</v>
      </c>
      <c r="D14" s="100">
        <v>0.39</v>
      </c>
      <c r="E14" s="100">
        <v>0.39</v>
      </c>
      <c r="F14" s="100">
        <v>0.4</v>
      </c>
      <c r="G14" s="100">
        <v>0.4</v>
      </c>
      <c r="H14" s="100">
        <v>0.39</v>
      </c>
      <c r="I14" s="100">
        <v>0.39</v>
      </c>
      <c r="J14" s="100">
        <v>0.42</v>
      </c>
      <c r="K14" s="100">
        <v>0.41</v>
      </c>
      <c r="L14" s="100">
        <v>0.41</v>
      </c>
      <c r="M14" s="100">
        <v>0.41</v>
      </c>
      <c r="N14" s="100">
        <v>0.45</v>
      </c>
      <c r="O14" s="100">
        <v>0.44</v>
      </c>
      <c r="P14" s="100">
        <v>0.45</v>
      </c>
      <c r="Q14" s="100">
        <v>0.45</v>
      </c>
      <c r="R14" s="100">
        <v>0.46</v>
      </c>
      <c r="S14" s="100">
        <v>0.45</v>
      </c>
      <c r="T14" s="100">
        <v>0.44</v>
      </c>
      <c r="U14" s="100">
        <v>0.43</v>
      </c>
      <c r="V14" s="100">
        <v>0.42</v>
      </c>
      <c r="W14" s="100">
        <v>0.41</v>
      </c>
      <c r="X14" s="100">
        <v>0.41</v>
      </c>
      <c r="Y14" s="100">
        <v>0.4</v>
      </c>
      <c r="Z14" s="100">
        <v>0.4</v>
      </c>
      <c r="AA14" s="100">
        <v>0.39</v>
      </c>
      <c r="AB14" s="100">
        <v>0.4</v>
      </c>
      <c r="AC14" s="100">
        <v>0.39</v>
      </c>
      <c r="AD14" s="100">
        <v>0.4</v>
      </c>
      <c r="AE14" s="100">
        <v>0.39</v>
      </c>
      <c r="AF14" s="100">
        <v>0.4</v>
      </c>
      <c r="AG14" s="100">
        <v>0.39</v>
      </c>
      <c r="AH14" s="100">
        <v>0.4</v>
      </c>
    </row>
    <row r="15" spans="1:34">
      <c r="A15" s="97" t="s">
        <v>129</v>
      </c>
      <c r="C15" s="183">
        <v>0.13</v>
      </c>
      <c r="D15" s="183">
        <v>0.14000000000000001</v>
      </c>
      <c r="E15" s="183">
        <v>0.14000000000000001</v>
      </c>
      <c r="F15" s="183">
        <v>0.12</v>
      </c>
      <c r="G15" s="183">
        <v>0.13</v>
      </c>
      <c r="H15" s="183">
        <v>0.12</v>
      </c>
      <c r="I15" s="183">
        <v>0.12</v>
      </c>
      <c r="J15" s="183">
        <v>0.1</v>
      </c>
      <c r="K15" s="183">
        <v>0.12</v>
      </c>
      <c r="L15" s="183">
        <v>0.12</v>
      </c>
      <c r="M15" s="183">
        <v>0.12</v>
      </c>
      <c r="N15" s="183">
        <v>0.1</v>
      </c>
      <c r="O15" s="183">
        <v>0.11</v>
      </c>
      <c r="P15" s="183">
        <v>0.1</v>
      </c>
      <c r="Q15" s="183">
        <v>0.1</v>
      </c>
      <c r="R15" s="183">
        <v>0.09</v>
      </c>
      <c r="S15" s="183">
        <v>0.09</v>
      </c>
      <c r="T15" s="183">
        <v>0.1</v>
      </c>
      <c r="U15" s="183">
        <v>0.11</v>
      </c>
      <c r="V15" s="183">
        <v>0.1</v>
      </c>
      <c r="W15" s="183">
        <v>0.1</v>
      </c>
      <c r="X15" s="183">
        <v>0.1</v>
      </c>
      <c r="Y15" s="183">
        <v>0.11</v>
      </c>
      <c r="Z15" s="183">
        <v>0.1</v>
      </c>
      <c r="AA15" s="183">
        <v>0.11</v>
      </c>
      <c r="AB15" s="183">
        <v>0.1</v>
      </c>
      <c r="AC15" s="183">
        <v>0.1</v>
      </c>
      <c r="AD15" s="183">
        <v>0.09</v>
      </c>
      <c r="AE15" s="183">
        <v>0.1</v>
      </c>
      <c r="AF15" s="183">
        <v>0.09</v>
      </c>
      <c r="AG15" s="183">
        <v>0.09</v>
      </c>
      <c r="AH15" s="183">
        <v>0.09</v>
      </c>
    </row>
    <row r="16" spans="1:34" ht="15.6" thickBot="1">
      <c r="A16" s="97" t="s">
        <v>175</v>
      </c>
      <c r="B16" s="97"/>
      <c r="C16" s="185">
        <v>1</v>
      </c>
      <c r="D16" s="185">
        <v>1</v>
      </c>
      <c r="E16" s="185">
        <v>1</v>
      </c>
      <c r="F16" s="185">
        <v>1</v>
      </c>
      <c r="G16" s="185">
        <v>1</v>
      </c>
      <c r="H16" s="185">
        <v>1</v>
      </c>
      <c r="I16" s="185">
        <v>1</v>
      </c>
      <c r="J16" s="185">
        <v>1</v>
      </c>
      <c r="K16" s="185">
        <v>1</v>
      </c>
      <c r="L16" s="185">
        <v>1</v>
      </c>
      <c r="M16" s="185">
        <v>1</v>
      </c>
      <c r="N16" s="185">
        <v>1</v>
      </c>
      <c r="O16" s="185">
        <v>1</v>
      </c>
      <c r="P16" s="185">
        <v>1</v>
      </c>
      <c r="Q16" s="185">
        <v>1</v>
      </c>
      <c r="R16" s="185">
        <v>1</v>
      </c>
      <c r="S16" s="185">
        <v>1</v>
      </c>
      <c r="T16" s="185">
        <v>1</v>
      </c>
      <c r="U16" s="185">
        <v>1</v>
      </c>
      <c r="V16" s="185">
        <v>1</v>
      </c>
      <c r="W16" s="185">
        <v>1</v>
      </c>
      <c r="X16" s="185">
        <v>1</v>
      </c>
      <c r="Y16" s="185">
        <v>1</v>
      </c>
      <c r="Z16" s="185">
        <v>1</v>
      </c>
      <c r="AA16" s="185">
        <v>1</v>
      </c>
      <c r="AB16" s="185">
        <v>1</v>
      </c>
      <c r="AC16" s="185">
        <v>1</v>
      </c>
      <c r="AD16" s="185">
        <v>1</v>
      </c>
      <c r="AE16" s="185">
        <v>1</v>
      </c>
      <c r="AF16" s="185">
        <v>1</v>
      </c>
      <c r="AG16" s="185">
        <v>1</v>
      </c>
      <c r="AH16" s="185">
        <v>1</v>
      </c>
    </row>
    <row r="17" spans="1:32"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</row>
    <row r="18" spans="1:32" ht="15.6">
      <c r="A18" s="102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I46"/>
  <sheetViews>
    <sheetView showGridLines="0" workbookViewId="0"/>
  </sheetViews>
  <sheetFormatPr defaultColWidth="9" defaultRowHeight="15"/>
  <cols>
    <col min="1" max="1" width="46.88671875" style="7" bestFit="1" customWidth="1"/>
    <col min="2" max="3" width="1.88671875" style="7" customWidth="1"/>
    <col min="4" max="7" width="9" style="7" bestFit="1" customWidth="1"/>
    <col min="8" max="10" width="9" style="7" customWidth="1"/>
    <col min="11" max="12" width="10" style="7" bestFit="1" customWidth="1"/>
    <col min="13" max="16384" width="9" style="7"/>
  </cols>
  <sheetData>
    <row r="1" spans="1:12">
      <c r="A1" s="103" t="s">
        <v>133</v>
      </c>
      <c r="B1" s="103"/>
      <c r="C1" s="103"/>
      <c r="D1" s="76" t="s">
        <v>17</v>
      </c>
      <c r="E1" s="104"/>
      <c r="F1" s="104"/>
      <c r="G1" s="104"/>
      <c r="H1" s="104"/>
      <c r="I1" s="104"/>
      <c r="J1" s="104"/>
      <c r="K1" s="104"/>
      <c r="L1" s="104"/>
    </row>
    <row r="2" spans="1:12">
      <c r="A2" s="103" t="s">
        <v>11</v>
      </c>
      <c r="B2" s="103"/>
      <c r="C2" s="103"/>
      <c r="D2" s="104"/>
      <c r="E2" s="104"/>
      <c r="F2" s="104"/>
      <c r="G2" s="104"/>
      <c r="H2" s="104"/>
      <c r="I2" s="104"/>
      <c r="J2" s="104"/>
      <c r="K2" s="104"/>
      <c r="L2" s="104"/>
    </row>
    <row r="3" spans="1:12">
      <c r="A3" s="73" t="s">
        <v>134</v>
      </c>
      <c r="B3" s="104"/>
      <c r="C3" s="105"/>
      <c r="D3" s="106"/>
      <c r="E3" s="106"/>
      <c r="F3" s="106"/>
      <c r="G3" s="106"/>
      <c r="H3" s="106"/>
      <c r="I3" s="106"/>
      <c r="J3" s="106"/>
      <c r="K3" s="104"/>
      <c r="L3" s="104"/>
    </row>
    <row r="4" spans="1:12">
      <c r="A4" s="73"/>
      <c r="B4" s="104"/>
      <c r="C4" s="105"/>
      <c r="D4" s="106"/>
      <c r="E4" s="106"/>
      <c r="F4" s="106"/>
      <c r="G4" s="106"/>
      <c r="H4" s="106"/>
      <c r="I4" s="106"/>
      <c r="J4" s="106"/>
      <c r="K4" s="106"/>
      <c r="L4" s="106"/>
    </row>
    <row r="5" spans="1:12">
      <c r="A5" s="73"/>
      <c r="B5" s="104"/>
      <c r="C5" s="105"/>
      <c r="D5" s="69" t="s">
        <v>177</v>
      </c>
      <c r="E5" s="69" t="s">
        <v>178</v>
      </c>
      <c r="F5" s="69" t="s">
        <v>179</v>
      </c>
      <c r="G5" s="69" t="s">
        <v>180</v>
      </c>
      <c r="H5" s="69" t="s">
        <v>181</v>
      </c>
      <c r="I5" s="69" t="s">
        <v>182</v>
      </c>
      <c r="J5" s="69" t="s">
        <v>183</v>
      </c>
      <c r="K5" s="69" t="s">
        <v>184</v>
      </c>
      <c r="L5" s="172"/>
    </row>
    <row r="6" spans="1:12">
      <c r="A6" s="56" t="s">
        <v>22</v>
      </c>
      <c r="B6" s="56"/>
      <c r="C6" s="56"/>
      <c r="D6" s="65"/>
      <c r="E6" s="65"/>
      <c r="F6" s="65"/>
      <c r="G6" s="65"/>
      <c r="H6" s="65"/>
      <c r="I6" s="65"/>
      <c r="J6" s="65"/>
      <c r="K6" s="65"/>
      <c r="L6" s="163"/>
    </row>
    <row r="7" spans="1:12">
      <c r="A7" s="56" t="s">
        <v>23</v>
      </c>
      <c r="B7" s="56"/>
      <c r="C7" s="56"/>
      <c r="D7" s="136">
        <v>67336</v>
      </c>
      <c r="E7" s="136">
        <v>63811</v>
      </c>
      <c r="F7" s="136">
        <v>64497</v>
      </c>
      <c r="G7" s="136">
        <v>66069</v>
      </c>
      <c r="H7" s="136">
        <v>68041</v>
      </c>
      <c r="I7" s="136">
        <v>71074</v>
      </c>
      <c r="J7" s="136">
        <v>72732</v>
      </c>
      <c r="K7" s="136">
        <v>64699</v>
      </c>
      <c r="L7" s="120"/>
    </row>
    <row r="8" spans="1:12">
      <c r="A8" s="56" t="s">
        <v>24</v>
      </c>
      <c r="B8" s="56"/>
      <c r="C8" s="56"/>
      <c r="D8" s="178">
        <v>23818</v>
      </c>
      <c r="E8" s="178">
        <v>32760</v>
      </c>
      <c r="F8" s="178">
        <v>45863</v>
      </c>
      <c r="G8" s="178">
        <v>59774</v>
      </c>
      <c r="H8" s="178">
        <v>74974</v>
      </c>
      <c r="I8" s="178">
        <v>97014</v>
      </c>
      <c r="J8" s="178">
        <v>125538</v>
      </c>
      <c r="K8" s="178">
        <v>147216</v>
      </c>
      <c r="L8" s="120"/>
    </row>
    <row r="9" spans="1:12">
      <c r="A9" s="56" t="s">
        <v>25</v>
      </c>
      <c r="B9" s="56"/>
      <c r="C9" s="56"/>
      <c r="D9" s="179">
        <v>91154</v>
      </c>
      <c r="E9" s="179">
        <v>96571</v>
      </c>
      <c r="F9" s="179">
        <v>110360</v>
      </c>
      <c r="G9" s="179">
        <v>125843</v>
      </c>
      <c r="H9" s="179">
        <v>143015</v>
      </c>
      <c r="I9" s="179">
        <v>168088</v>
      </c>
      <c r="J9" s="179">
        <v>198270</v>
      </c>
      <c r="K9" s="179">
        <v>211915</v>
      </c>
      <c r="L9" s="108"/>
    </row>
    <row r="10" spans="1:12">
      <c r="A10" s="56" t="s">
        <v>26</v>
      </c>
      <c r="B10" s="56"/>
      <c r="C10" s="56"/>
      <c r="D10" s="154"/>
      <c r="E10" s="154"/>
      <c r="F10" s="154"/>
      <c r="G10" s="154"/>
      <c r="H10" s="154"/>
      <c r="I10" s="154"/>
      <c r="J10" s="154"/>
      <c r="K10" s="154"/>
      <c r="L10" s="108"/>
    </row>
    <row r="11" spans="1:12">
      <c r="A11" s="56" t="s">
        <v>23</v>
      </c>
      <c r="B11" s="56"/>
      <c r="C11" s="56"/>
      <c r="D11" s="70">
        <v>17880</v>
      </c>
      <c r="E11" s="70">
        <v>15175</v>
      </c>
      <c r="F11" s="70">
        <v>15420</v>
      </c>
      <c r="G11" s="70">
        <v>16273</v>
      </c>
      <c r="H11" s="70">
        <v>16017</v>
      </c>
      <c r="I11" s="70">
        <v>18219</v>
      </c>
      <c r="J11" s="70">
        <v>19064</v>
      </c>
      <c r="K11" s="70">
        <v>17804</v>
      </c>
      <c r="L11" s="108"/>
    </row>
    <row r="12" spans="1:12">
      <c r="A12" s="56" t="s">
        <v>24</v>
      </c>
      <c r="B12" s="56"/>
      <c r="C12" s="56"/>
      <c r="D12" s="71">
        <v>14900</v>
      </c>
      <c r="E12" s="71">
        <v>19086</v>
      </c>
      <c r="F12" s="71">
        <v>22933</v>
      </c>
      <c r="G12" s="71">
        <v>26637</v>
      </c>
      <c r="H12" s="71">
        <v>30061</v>
      </c>
      <c r="I12" s="71">
        <v>34013</v>
      </c>
      <c r="J12" s="71">
        <v>43586</v>
      </c>
      <c r="K12" s="71">
        <v>48059</v>
      </c>
      <c r="L12" s="108"/>
    </row>
    <row r="13" spans="1:12">
      <c r="A13" s="56" t="s">
        <v>27</v>
      </c>
      <c r="B13" s="56"/>
      <c r="C13" s="56"/>
      <c r="D13" s="109">
        <v>32780</v>
      </c>
      <c r="E13" s="109">
        <v>34261</v>
      </c>
      <c r="F13" s="109">
        <v>38353</v>
      </c>
      <c r="G13" s="109">
        <v>42910</v>
      </c>
      <c r="H13" s="109">
        <v>46078</v>
      </c>
      <c r="I13" s="109">
        <v>52232</v>
      </c>
      <c r="J13" s="109">
        <v>62650</v>
      </c>
      <c r="K13" s="109">
        <v>65863</v>
      </c>
      <c r="L13" s="108"/>
    </row>
    <row r="14" spans="1:12">
      <c r="A14" s="56" t="s">
        <v>28</v>
      </c>
      <c r="B14" s="56"/>
      <c r="C14" s="56"/>
      <c r="D14" s="108">
        <v>58374</v>
      </c>
      <c r="E14" s="108">
        <v>62310</v>
      </c>
      <c r="F14" s="108">
        <v>72007</v>
      </c>
      <c r="G14" s="108">
        <v>82933</v>
      </c>
      <c r="H14" s="108">
        <v>96937</v>
      </c>
      <c r="I14" s="108">
        <v>115856</v>
      </c>
      <c r="J14" s="108">
        <v>135620</v>
      </c>
      <c r="K14" s="108">
        <v>146052</v>
      </c>
      <c r="L14" s="108"/>
    </row>
    <row r="15" spans="1:12">
      <c r="A15" s="56" t="s">
        <v>29</v>
      </c>
      <c r="B15" s="56"/>
      <c r="C15" s="56"/>
      <c r="D15" s="70">
        <v>11988</v>
      </c>
      <c r="E15" s="70">
        <v>13037</v>
      </c>
      <c r="F15" s="70">
        <v>14726</v>
      </c>
      <c r="G15" s="70">
        <v>16876</v>
      </c>
      <c r="H15" s="70">
        <v>19269</v>
      </c>
      <c r="I15" s="70">
        <v>20716</v>
      </c>
      <c r="J15" s="70">
        <v>24512</v>
      </c>
      <c r="K15" s="70">
        <v>27195</v>
      </c>
      <c r="L15" s="108"/>
    </row>
    <row r="16" spans="1:12">
      <c r="A16" s="56" t="s">
        <v>30</v>
      </c>
      <c r="B16" s="56"/>
      <c r="C16" s="56"/>
      <c r="D16" s="70">
        <v>14635</v>
      </c>
      <c r="E16" s="70">
        <v>15461</v>
      </c>
      <c r="F16" s="70">
        <v>17469</v>
      </c>
      <c r="G16" s="70">
        <v>18213</v>
      </c>
      <c r="H16" s="70">
        <v>19598</v>
      </c>
      <c r="I16" s="70">
        <v>20117</v>
      </c>
      <c r="J16" s="70">
        <v>21825</v>
      </c>
      <c r="K16" s="70">
        <v>22759</v>
      </c>
      <c r="L16" s="108"/>
    </row>
    <row r="17" spans="1:217">
      <c r="A17" s="56" t="s">
        <v>31</v>
      </c>
      <c r="B17" s="56"/>
      <c r="C17" s="56"/>
      <c r="D17" s="70">
        <v>4563</v>
      </c>
      <c r="E17" s="70">
        <v>4481</v>
      </c>
      <c r="F17" s="70">
        <v>4754</v>
      </c>
      <c r="G17" s="70">
        <v>4885</v>
      </c>
      <c r="H17" s="70">
        <v>5111</v>
      </c>
      <c r="I17" s="70">
        <v>5107</v>
      </c>
      <c r="J17" s="70">
        <v>5900</v>
      </c>
      <c r="K17" s="70">
        <v>7575</v>
      </c>
      <c r="L17" s="108"/>
    </row>
    <row r="18" spans="1:217">
      <c r="A18" s="56" t="s">
        <v>167</v>
      </c>
      <c r="B18" s="56"/>
      <c r="C18" s="56"/>
      <c r="D18" s="70">
        <v>1110</v>
      </c>
      <c r="E18" s="70">
        <v>306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  <c r="L18" s="108"/>
    </row>
    <row r="19" spans="1:217">
      <c r="A19" s="56" t="s">
        <v>32</v>
      </c>
      <c r="B19" s="56"/>
      <c r="C19" s="56"/>
      <c r="D19" s="127">
        <v>26078</v>
      </c>
      <c r="E19" s="127">
        <v>29025</v>
      </c>
      <c r="F19" s="127">
        <v>35058</v>
      </c>
      <c r="G19" s="127">
        <v>42959</v>
      </c>
      <c r="H19" s="127">
        <v>52959</v>
      </c>
      <c r="I19" s="127">
        <v>69916</v>
      </c>
      <c r="J19" s="127">
        <v>83383</v>
      </c>
      <c r="K19" s="127">
        <v>88523</v>
      </c>
      <c r="L19" s="108"/>
    </row>
    <row r="20" spans="1:217">
      <c r="A20" s="56" t="s">
        <v>33</v>
      </c>
      <c r="B20" s="56"/>
      <c r="C20" s="56"/>
      <c r="D20" s="71">
        <v>-439</v>
      </c>
      <c r="E20" s="71">
        <v>876</v>
      </c>
      <c r="F20" s="71">
        <v>1416</v>
      </c>
      <c r="G20" s="71">
        <v>729</v>
      </c>
      <c r="H20" s="71">
        <v>77</v>
      </c>
      <c r="I20" s="71">
        <v>1186</v>
      </c>
      <c r="J20" s="71">
        <v>333</v>
      </c>
      <c r="K20" s="71">
        <v>788</v>
      </c>
      <c r="L20" s="108"/>
    </row>
    <row r="21" spans="1:217">
      <c r="A21" s="56" t="s">
        <v>34</v>
      </c>
      <c r="B21" s="56"/>
      <c r="C21" s="56"/>
      <c r="D21" s="70">
        <v>25639</v>
      </c>
      <c r="E21" s="70">
        <v>29901</v>
      </c>
      <c r="F21" s="70">
        <v>36474</v>
      </c>
      <c r="G21" s="70">
        <v>43688</v>
      </c>
      <c r="H21" s="70">
        <v>53036</v>
      </c>
      <c r="I21" s="70">
        <v>71102</v>
      </c>
      <c r="J21" s="70">
        <v>83716</v>
      </c>
      <c r="K21" s="70">
        <v>89311</v>
      </c>
      <c r="L21" s="108"/>
    </row>
    <row r="22" spans="1:217">
      <c r="A22" s="56" t="s">
        <v>35</v>
      </c>
      <c r="B22" s="56"/>
      <c r="C22" s="56"/>
      <c r="D22" s="71">
        <v>5100</v>
      </c>
      <c r="E22" s="71">
        <v>4412</v>
      </c>
      <c r="F22" s="71">
        <v>19903</v>
      </c>
      <c r="G22" s="71">
        <v>4448</v>
      </c>
      <c r="H22" s="71">
        <v>8755</v>
      </c>
      <c r="I22" s="71">
        <v>9831</v>
      </c>
      <c r="J22" s="71">
        <v>10978</v>
      </c>
      <c r="K22" s="71">
        <v>16950</v>
      </c>
      <c r="L22" s="108"/>
    </row>
    <row r="23" spans="1:217" ht="15.6" thickBot="1">
      <c r="A23" s="56" t="s">
        <v>36</v>
      </c>
      <c r="B23" s="56"/>
      <c r="C23" s="56"/>
      <c r="D23" s="155">
        <v>20539</v>
      </c>
      <c r="E23" s="155">
        <v>25489</v>
      </c>
      <c r="F23" s="155">
        <v>16571</v>
      </c>
      <c r="G23" s="155">
        <v>39240</v>
      </c>
      <c r="H23" s="155">
        <v>44281</v>
      </c>
      <c r="I23" s="155">
        <v>61271</v>
      </c>
      <c r="J23" s="155">
        <v>72738</v>
      </c>
      <c r="K23" s="155">
        <v>72361</v>
      </c>
      <c r="L23" s="163"/>
    </row>
    <row r="24" spans="1:217">
      <c r="A24" s="56" t="s">
        <v>37</v>
      </c>
      <c r="B24" s="56"/>
      <c r="C24" s="56"/>
      <c r="D24" s="177"/>
      <c r="E24" s="177"/>
      <c r="F24" s="173"/>
      <c r="G24" s="173"/>
      <c r="H24" s="173"/>
      <c r="I24" s="173"/>
      <c r="J24" s="173"/>
      <c r="K24" s="173"/>
      <c r="L24" s="173"/>
    </row>
    <row r="25" spans="1:217">
      <c r="A25" s="56" t="s">
        <v>38</v>
      </c>
      <c r="B25" s="56"/>
      <c r="C25" s="56"/>
      <c r="D25" s="164">
        <v>2.59</v>
      </c>
      <c r="E25" s="164">
        <v>3.29</v>
      </c>
      <c r="F25" s="173">
        <v>2.15</v>
      </c>
      <c r="G25" s="173">
        <v>5.1100000000000003</v>
      </c>
      <c r="H25" s="173">
        <v>5.82</v>
      </c>
      <c r="I25" s="173">
        <v>8.1199999999999992</v>
      </c>
      <c r="J25" s="173">
        <v>9.6999999999999993</v>
      </c>
      <c r="K25" s="173">
        <v>9.7200000000000006</v>
      </c>
      <c r="L25" s="173"/>
    </row>
    <row r="26" spans="1:217">
      <c r="A26" s="56" t="s">
        <v>39</v>
      </c>
      <c r="B26" s="56"/>
      <c r="C26" s="56"/>
      <c r="D26" s="164">
        <v>2.56</v>
      </c>
      <c r="E26" s="164">
        <v>3.25</v>
      </c>
      <c r="F26" s="173">
        <v>2.13</v>
      </c>
      <c r="G26" s="173">
        <v>5.0599999999999996</v>
      </c>
      <c r="H26" s="173">
        <v>5.76</v>
      </c>
      <c r="I26" s="173">
        <v>8.0500000000000007</v>
      </c>
      <c r="J26" s="173">
        <v>9.65</v>
      </c>
      <c r="K26" s="173">
        <v>9.68</v>
      </c>
      <c r="L26" s="173"/>
    </row>
    <row r="27" spans="1:217">
      <c r="A27" s="73"/>
      <c r="B27" s="73"/>
      <c r="C27" s="73"/>
      <c r="D27" s="173"/>
      <c r="E27" s="173"/>
      <c r="F27" s="173"/>
      <c r="G27" s="173"/>
      <c r="H27" s="173"/>
      <c r="I27" s="173"/>
      <c r="J27" s="173"/>
      <c r="K27" s="173"/>
      <c r="L27" s="173"/>
    </row>
    <row r="28" spans="1:217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</row>
    <row r="29" spans="1:217">
      <c r="A29" s="73"/>
      <c r="B29" s="73"/>
      <c r="C29" s="73"/>
      <c r="D29" s="110"/>
      <c r="E29" s="110"/>
      <c r="F29" s="110"/>
      <c r="G29" s="110"/>
      <c r="H29" s="110"/>
      <c r="I29" s="110"/>
      <c r="J29" s="110"/>
      <c r="K29" s="110"/>
      <c r="L29" s="110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110"/>
    </row>
    <row r="30" spans="1:217">
      <c r="A30" s="75"/>
      <c r="B30" s="75"/>
      <c r="C30" s="73"/>
      <c r="D30" s="174"/>
      <c r="E30" s="174"/>
      <c r="F30" s="174"/>
      <c r="G30" s="174"/>
      <c r="H30" s="174"/>
      <c r="I30" s="174"/>
      <c r="J30" s="174"/>
      <c r="K30" s="175"/>
      <c r="L30" s="175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104"/>
      <c r="DP30" s="104"/>
      <c r="DQ30" s="104"/>
      <c r="DR30" s="104"/>
      <c r="DS30" s="104"/>
      <c r="DT30" s="104"/>
      <c r="DU30" s="104"/>
      <c r="DV30" s="104"/>
      <c r="DW30" s="104"/>
      <c r="DX30" s="104"/>
      <c r="DY30" s="104"/>
      <c r="DZ30" s="104"/>
      <c r="EA30" s="104"/>
      <c r="EB30" s="104"/>
      <c r="EC30" s="104"/>
      <c r="ED30" s="104"/>
      <c r="EE30" s="104"/>
      <c r="EF30" s="104"/>
      <c r="EG30" s="104"/>
      <c r="EH30" s="104"/>
      <c r="EI30" s="104"/>
      <c r="EJ30" s="104"/>
      <c r="EK30" s="104"/>
      <c r="EL30" s="104"/>
      <c r="EM30" s="104"/>
      <c r="EN30" s="104"/>
      <c r="EO30" s="104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4"/>
      <c r="FQ30" s="104"/>
      <c r="FR30" s="104"/>
      <c r="FS30" s="104"/>
      <c r="FT30" s="104"/>
      <c r="FU30" s="104"/>
      <c r="FV30" s="104"/>
      <c r="FW30" s="104"/>
      <c r="FX30" s="104"/>
      <c r="FY30" s="104"/>
      <c r="FZ30" s="104"/>
      <c r="GA30" s="104"/>
      <c r="GB30" s="104"/>
      <c r="GC30" s="104"/>
      <c r="GD30" s="104"/>
      <c r="GE30" s="104"/>
      <c r="GF30" s="104"/>
      <c r="GG30" s="104"/>
      <c r="GH30" s="104"/>
      <c r="GI30" s="104"/>
      <c r="GJ30" s="104"/>
      <c r="GK30" s="104"/>
      <c r="GL30" s="104"/>
      <c r="GM30" s="104"/>
      <c r="GN30" s="104"/>
      <c r="GO30" s="104"/>
      <c r="GP30" s="104"/>
      <c r="GQ30" s="104"/>
      <c r="GR30" s="104"/>
      <c r="GS30" s="104"/>
      <c r="GT30" s="104"/>
      <c r="GU30" s="104"/>
      <c r="GV30" s="104"/>
      <c r="GW30" s="104"/>
      <c r="GX30" s="104"/>
      <c r="GY30" s="104"/>
      <c r="GZ30" s="104"/>
      <c r="HA30" s="104"/>
      <c r="HB30" s="104"/>
      <c r="HC30" s="104"/>
      <c r="HD30" s="104"/>
      <c r="HE30" s="104"/>
      <c r="HF30" s="104"/>
      <c r="HG30" s="104"/>
      <c r="HH30" s="104"/>
      <c r="HI30" s="104"/>
    </row>
    <row r="31" spans="1:217">
      <c r="A31" s="111"/>
      <c r="B31" s="111"/>
      <c r="C31" s="73"/>
      <c r="D31" s="176"/>
      <c r="E31" s="176"/>
      <c r="F31" s="176"/>
      <c r="G31" s="176"/>
      <c r="H31" s="176"/>
      <c r="I31" s="176"/>
      <c r="J31" s="176"/>
      <c r="K31" s="176"/>
      <c r="L31" s="176"/>
    </row>
    <row r="32" spans="1:217">
      <c r="A32" s="111"/>
      <c r="B32" s="111"/>
      <c r="C32" s="7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1"/>
      <c r="B33" s="111"/>
      <c r="C33" s="7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1"/>
      <c r="B34" s="73"/>
      <c r="C34" s="7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1"/>
      <c r="B35" s="104"/>
      <c r="C35" s="104"/>
      <c r="D35" s="73"/>
      <c r="E35" s="73"/>
      <c r="F35" s="73"/>
      <c r="G35" s="73"/>
      <c r="H35" s="73"/>
      <c r="I35" s="73"/>
      <c r="J35" s="73"/>
      <c r="K35" s="104"/>
      <c r="L35" s="104"/>
    </row>
    <row r="36" spans="1:12">
      <c r="B36" s="104"/>
      <c r="C36" s="104"/>
      <c r="D36" s="73"/>
      <c r="E36" s="73"/>
      <c r="F36" s="73"/>
      <c r="G36" s="73"/>
      <c r="H36" s="73"/>
      <c r="I36" s="73"/>
      <c r="J36" s="73"/>
      <c r="K36" s="104"/>
      <c r="L36" s="104"/>
    </row>
    <row r="37" spans="1:12">
      <c r="B37" s="104"/>
      <c r="C37" s="104"/>
      <c r="D37" s="73"/>
      <c r="E37" s="73"/>
      <c r="F37" s="73"/>
      <c r="G37" s="73"/>
      <c r="H37" s="73"/>
      <c r="I37" s="73"/>
      <c r="J37" s="73"/>
      <c r="K37" s="104"/>
      <c r="L37" s="104"/>
    </row>
    <row r="38" spans="1:12">
      <c r="B38" s="104"/>
      <c r="C38" s="104"/>
      <c r="D38" s="73"/>
      <c r="E38" s="73"/>
      <c r="F38" s="73"/>
      <c r="G38" s="73"/>
      <c r="H38" s="73"/>
      <c r="I38" s="73"/>
      <c r="J38" s="73"/>
      <c r="K38" s="104"/>
      <c r="L38" s="104"/>
    </row>
    <row r="39" spans="1:12">
      <c r="B39" s="73"/>
      <c r="C39" s="104"/>
      <c r="D39" s="73"/>
      <c r="E39" s="73"/>
      <c r="F39" s="73"/>
      <c r="G39" s="73"/>
      <c r="H39" s="73"/>
      <c r="I39" s="73"/>
      <c r="J39" s="73"/>
      <c r="K39" s="104"/>
      <c r="L39" s="104"/>
    </row>
    <row r="40" spans="1:12">
      <c r="B40" s="73"/>
      <c r="C40" s="104"/>
      <c r="D40" s="73"/>
      <c r="E40" s="73"/>
      <c r="F40" s="73"/>
      <c r="G40" s="73"/>
      <c r="H40" s="73"/>
      <c r="I40" s="73"/>
      <c r="J40" s="73"/>
      <c r="K40" s="104"/>
      <c r="L40" s="104"/>
    </row>
    <row r="41" spans="1:12">
      <c r="B41" s="75"/>
      <c r="C41" s="104"/>
      <c r="D41" s="73"/>
      <c r="E41" s="73"/>
      <c r="F41" s="73"/>
      <c r="G41" s="73"/>
      <c r="H41" s="73"/>
      <c r="I41" s="73"/>
      <c r="J41" s="73"/>
      <c r="K41" s="104"/>
      <c r="L41" s="104"/>
    </row>
    <row r="42" spans="1:12">
      <c r="B42" s="75"/>
      <c r="C42" s="104"/>
      <c r="D42" s="73"/>
      <c r="E42" s="73"/>
      <c r="F42" s="73"/>
      <c r="G42" s="73"/>
      <c r="H42" s="73"/>
      <c r="I42" s="73"/>
      <c r="J42" s="73"/>
      <c r="K42" s="104"/>
      <c r="L42" s="104"/>
    </row>
    <row r="43" spans="1:12">
      <c r="B43" s="75"/>
      <c r="C43" s="104"/>
      <c r="D43" s="73"/>
      <c r="E43" s="73"/>
      <c r="F43" s="73"/>
      <c r="G43" s="73"/>
      <c r="H43" s="73"/>
      <c r="I43" s="73"/>
      <c r="J43" s="73"/>
      <c r="K43" s="104"/>
      <c r="L43" s="104"/>
    </row>
    <row r="44" spans="1:12">
      <c r="B44" s="104"/>
      <c r="C44" s="104"/>
      <c r="D44" s="73"/>
      <c r="E44" s="73"/>
      <c r="F44" s="73"/>
      <c r="G44" s="73"/>
      <c r="H44" s="73"/>
      <c r="I44" s="73"/>
      <c r="J44" s="73"/>
      <c r="K44" s="104"/>
      <c r="L44" s="104"/>
    </row>
    <row r="45" spans="1:12">
      <c r="B45" s="104"/>
      <c r="C45" s="104"/>
      <c r="D45" s="73"/>
      <c r="E45" s="73"/>
      <c r="F45" s="73"/>
      <c r="G45" s="73"/>
      <c r="H45" s="73"/>
      <c r="I45" s="73"/>
      <c r="J45" s="73"/>
      <c r="K45" s="104"/>
      <c r="L45" s="104"/>
    </row>
    <row r="46" spans="1:12"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9"/>
  <sheetViews>
    <sheetView showGridLines="0" workbookViewId="0"/>
  </sheetViews>
  <sheetFormatPr defaultColWidth="9" defaultRowHeight="15"/>
  <cols>
    <col min="1" max="1" width="2.5546875" style="7" customWidth="1"/>
    <col min="2" max="2" width="28" style="7" customWidth="1"/>
    <col min="3" max="8" width="10.5546875" style="7" bestFit="1" customWidth="1"/>
    <col min="9" max="9" width="10.5546875" style="7" customWidth="1"/>
    <col min="10" max="29" width="10.5546875" style="7" bestFit="1" customWidth="1"/>
    <col min="30" max="68" width="9" style="7"/>
    <col min="69" max="69" width="9" style="7" customWidth="1"/>
    <col min="70" max="16384" width="9" style="7"/>
  </cols>
  <sheetData>
    <row r="1" spans="1:88">
      <c r="A1" s="77" t="s">
        <v>133</v>
      </c>
      <c r="C1" s="76" t="s">
        <v>17</v>
      </c>
      <c r="O1" s="186"/>
      <c r="BU1" s="186"/>
      <c r="BV1" s="186"/>
      <c r="BW1" s="186"/>
      <c r="BX1" s="186"/>
    </row>
    <row r="2" spans="1:88">
      <c r="A2" s="94" t="s">
        <v>13</v>
      </c>
      <c r="O2" s="186"/>
      <c r="BU2" s="186"/>
      <c r="BV2" s="186"/>
      <c r="BW2" s="186"/>
      <c r="BX2" s="186"/>
    </row>
    <row r="3" spans="1:88">
      <c r="A3" s="73" t="s">
        <v>185</v>
      </c>
      <c r="O3" s="186"/>
      <c r="BU3" s="186"/>
      <c r="BV3" s="186"/>
      <c r="BW3" s="186"/>
      <c r="BX3" s="186"/>
    </row>
    <row r="4" spans="1:88">
      <c r="A4" s="94"/>
      <c r="O4" s="186"/>
      <c r="BU4" s="186"/>
      <c r="BV4" s="186"/>
      <c r="BW4" s="186"/>
      <c r="BX4" s="186"/>
    </row>
    <row r="5" spans="1:88">
      <c r="A5" s="22"/>
      <c r="B5" s="22"/>
      <c r="C5" s="69" t="s">
        <v>186</v>
      </c>
      <c r="D5" s="69" t="s">
        <v>187</v>
      </c>
      <c r="E5" s="69" t="s">
        <v>188</v>
      </c>
      <c r="F5" s="69" t="s">
        <v>189</v>
      </c>
      <c r="G5" s="69" t="s">
        <v>190</v>
      </c>
      <c r="H5" s="69" t="s">
        <v>191</v>
      </c>
      <c r="I5" s="69" t="s">
        <v>177</v>
      </c>
      <c r="J5" s="69" t="s">
        <v>178</v>
      </c>
      <c r="K5" s="69" t="s">
        <v>179</v>
      </c>
      <c r="L5" s="69" t="s">
        <v>180</v>
      </c>
      <c r="M5" s="69" t="s">
        <v>181</v>
      </c>
      <c r="N5" s="69" t="s">
        <v>182</v>
      </c>
      <c r="O5" s="188" t="s">
        <v>183</v>
      </c>
      <c r="P5" s="191" t="s">
        <v>184</v>
      </c>
      <c r="BU5" s="186"/>
      <c r="BV5" s="186"/>
      <c r="BW5" s="186"/>
      <c r="BX5" s="186"/>
    </row>
    <row r="6" spans="1:88">
      <c r="O6" s="186"/>
      <c r="P6" s="186"/>
      <c r="BU6" s="186"/>
      <c r="BV6" s="186"/>
      <c r="BW6" s="186"/>
      <c r="BX6" s="186"/>
    </row>
    <row r="7" spans="1:88">
      <c r="A7" s="96" t="s">
        <v>192</v>
      </c>
      <c r="O7" s="186"/>
      <c r="P7" s="186"/>
      <c r="BU7" s="186"/>
      <c r="BV7" s="186"/>
      <c r="BW7" s="186"/>
      <c r="BX7" s="186"/>
    </row>
    <row r="8" spans="1:88" s="74" customFormat="1">
      <c r="A8" s="74" t="s">
        <v>193</v>
      </c>
      <c r="C8" s="164">
        <v>0.52</v>
      </c>
      <c r="D8" s="164">
        <v>0.64</v>
      </c>
      <c r="E8" s="164">
        <v>0.8</v>
      </c>
      <c r="F8" s="164">
        <v>0.92</v>
      </c>
      <c r="G8" s="164">
        <v>1.1200000000000001</v>
      </c>
      <c r="H8" s="164">
        <v>1.24</v>
      </c>
      <c r="I8" s="164">
        <v>1.44</v>
      </c>
      <c r="J8" s="164">
        <v>1.56</v>
      </c>
      <c r="K8" s="164">
        <v>1.68</v>
      </c>
      <c r="L8" s="164">
        <v>1.84</v>
      </c>
      <c r="M8" s="164">
        <v>2.04</v>
      </c>
      <c r="N8" s="164">
        <v>2.2400000000000002</v>
      </c>
      <c r="O8" s="164">
        <v>2.48</v>
      </c>
      <c r="P8" s="164">
        <v>2.72</v>
      </c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86"/>
      <c r="BV8" s="186"/>
      <c r="BW8" s="186"/>
      <c r="BX8" s="186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</row>
    <row r="9" spans="1:88" s="131" customFormat="1">
      <c r="A9" s="56" t="s">
        <v>194</v>
      </c>
      <c r="C9" s="133">
        <v>4.5389999999999997</v>
      </c>
      <c r="D9" s="133">
        <v>5.4029999999999996</v>
      </c>
      <c r="E9" s="133">
        <v>6.72</v>
      </c>
      <c r="F9" s="133">
        <v>7.6950000000000003</v>
      </c>
      <c r="G9" s="133">
        <v>9.27</v>
      </c>
      <c r="H9" s="133">
        <v>10.050000000000001</v>
      </c>
      <c r="I9" s="133">
        <v>11.331</v>
      </c>
      <c r="J9" s="133">
        <v>12.048</v>
      </c>
      <c r="K9" s="133">
        <v>12.916</v>
      </c>
      <c r="L9" s="133">
        <v>14.101000000000001</v>
      </c>
      <c r="M9" s="133">
        <v>15.483000000000001</v>
      </c>
      <c r="N9" s="133">
        <v>16.870999999999999</v>
      </c>
      <c r="O9" s="133">
        <v>18.55</v>
      </c>
      <c r="P9" s="133">
        <v>20.233000000000001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86"/>
      <c r="BV9" s="186"/>
      <c r="BW9" s="186"/>
      <c r="BX9" s="186"/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</row>
    <row r="10" spans="1:88" s="129" customFormat="1">
      <c r="A10" s="129" t="s">
        <v>195</v>
      </c>
      <c r="C10" s="133">
        <v>10.836</v>
      </c>
      <c r="D10" s="133">
        <v>11.458</v>
      </c>
      <c r="E10" s="133">
        <v>4</v>
      </c>
      <c r="F10" s="133">
        <v>4.6070000000000002</v>
      </c>
      <c r="G10" s="133">
        <v>6.4089999999999998</v>
      </c>
      <c r="H10" s="133">
        <v>13.209</v>
      </c>
      <c r="I10" s="133">
        <v>14.8</v>
      </c>
      <c r="J10" s="133">
        <v>10.282999999999999</v>
      </c>
      <c r="K10" s="133">
        <v>8.6</v>
      </c>
      <c r="L10" s="133">
        <v>16.798999999999999</v>
      </c>
      <c r="M10" s="133">
        <v>19.687999999999999</v>
      </c>
      <c r="N10" s="133">
        <v>22.97</v>
      </c>
      <c r="O10" s="133">
        <v>28.033000000000001</v>
      </c>
      <c r="P10" s="133">
        <v>18.399999999999999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86"/>
      <c r="BV10" s="186"/>
      <c r="BW10" s="186"/>
      <c r="BX10" s="186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s="56" customFormat="1"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186"/>
      <c r="BV11" s="186"/>
      <c r="BW11" s="186"/>
      <c r="BX11" s="186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</row>
    <row r="12" spans="1:88" s="56" customFormat="1"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186"/>
      <c r="BV12" s="186"/>
      <c r="BW12" s="186"/>
      <c r="BX12" s="186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</row>
    <row r="13" spans="1:88">
      <c r="A13" s="96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BU13" s="186"/>
      <c r="BV13" s="186"/>
      <c r="BW13" s="186"/>
      <c r="BX13" s="186"/>
    </row>
    <row r="14" spans="1:88">
      <c r="A14" s="22"/>
      <c r="B14" s="22"/>
      <c r="C14" s="107" t="s">
        <v>196</v>
      </c>
      <c r="D14" s="107" t="s">
        <v>197</v>
      </c>
      <c r="E14" s="107" t="s">
        <v>198</v>
      </c>
      <c r="F14" s="107" t="s">
        <v>199</v>
      </c>
      <c r="G14" s="107" t="s">
        <v>200</v>
      </c>
      <c r="H14" s="107" t="s">
        <v>201</v>
      </c>
      <c r="I14" s="107" t="s">
        <v>202</v>
      </c>
      <c r="J14" s="107" t="s">
        <v>203</v>
      </c>
      <c r="K14" s="107" t="s">
        <v>204</v>
      </c>
      <c r="L14" s="107" t="s">
        <v>205</v>
      </c>
      <c r="M14" s="107" t="s">
        <v>206</v>
      </c>
      <c r="N14" s="107" t="s">
        <v>207</v>
      </c>
      <c r="O14" s="107" t="s">
        <v>208</v>
      </c>
      <c r="P14" s="107" t="s">
        <v>209</v>
      </c>
      <c r="Q14" s="107" t="s">
        <v>210</v>
      </c>
      <c r="R14" s="107" t="s">
        <v>211</v>
      </c>
      <c r="S14" s="107" t="s">
        <v>212</v>
      </c>
      <c r="T14" s="107" t="s">
        <v>213</v>
      </c>
      <c r="U14" s="107" t="s">
        <v>214</v>
      </c>
      <c r="V14" s="107" t="s">
        <v>215</v>
      </c>
      <c r="W14" s="107" t="s">
        <v>216</v>
      </c>
      <c r="X14" s="107" t="s">
        <v>217</v>
      </c>
      <c r="Y14" s="107" t="s">
        <v>218</v>
      </c>
      <c r="Z14" s="107" t="s">
        <v>219</v>
      </c>
      <c r="AA14" s="107" t="s">
        <v>220</v>
      </c>
      <c r="AB14" s="107" t="s">
        <v>221</v>
      </c>
      <c r="AC14" s="107" t="s">
        <v>222</v>
      </c>
      <c r="AD14" s="107" t="s">
        <v>223</v>
      </c>
      <c r="AE14" s="107" t="s">
        <v>224</v>
      </c>
      <c r="AF14" s="107" t="s">
        <v>225</v>
      </c>
      <c r="AG14" s="107" t="s">
        <v>226</v>
      </c>
      <c r="AH14" s="107" t="s">
        <v>227</v>
      </c>
      <c r="AI14" s="107" t="s">
        <v>228</v>
      </c>
      <c r="AJ14" s="107" t="s">
        <v>229</v>
      </c>
      <c r="AK14" s="107" t="s">
        <v>230</v>
      </c>
      <c r="AL14" s="107" t="s">
        <v>231</v>
      </c>
      <c r="AM14" s="107" t="s">
        <v>232</v>
      </c>
      <c r="AN14" s="107" t="s">
        <v>233</v>
      </c>
      <c r="AO14" s="107" t="s">
        <v>234</v>
      </c>
      <c r="AP14" s="107" t="s">
        <v>235</v>
      </c>
      <c r="AQ14" s="107" t="s">
        <v>236</v>
      </c>
      <c r="AR14" s="107" t="s">
        <v>237</v>
      </c>
      <c r="AS14" s="107" t="s">
        <v>238</v>
      </c>
      <c r="AT14" s="107" t="s">
        <v>135</v>
      </c>
      <c r="AU14" s="107" t="s">
        <v>136</v>
      </c>
      <c r="AV14" s="107" t="s">
        <v>137</v>
      </c>
      <c r="AW14" s="107" t="s">
        <v>138</v>
      </c>
      <c r="AX14" s="107" t="s">
        <v>139</v>
      </c>
      <c r="AY14" s="107" t="s">
        <v>140</v>
      </c>
      <c r="AZ14" s="107" t="s">
        <v>141</v>
      </c>
      <c r="BA14" s="107" t="s">
        <v>142</v>
      </c>
      <c r="BB14" s="107" t="s">
        <v>143</v>
      </c>
      <c r="BC14" s="107" t="s">
        <v>144</v>
      </c>
      <c r="BD14" s="107" t="s">
        <v>145</v>
      </c>
      <c r="BE14" s="107" t="s">
        <v>146</v>
      </c>
      <c r="BF14" s="107" t="s">
        <v>147</v>
      </c>
      <c r="BG14" s="107" t="s">
        <v>148</v>
      </c>
      <c r="BH14" s="107" t="s">
        <v>149</v>
      </c>
      <c r="BI14" s="107" t="s">
        <v>150</v>
      </c>
      <c r="BJ14" s="107" t="s">
        <v>151</v>
      </c>
      <c r="BK14" s="107" t="s">
        <v>152</v>
      </c>
      <c r="BL14" s="107" t="s">
        <v>153</v>
      </c>
      <c r="BM14" s="107" t="s">
        <v>154</v>
      </c>
      <c r="BN14" s="107" t="s">
        <v>155</v>
      </c>
      <c r="BO14" s="107" t="s">
        <v>156</v>
      </c>
      <c r="BP14" s="107" t="s">
        <v>157</v>
      </c>
      <c r="BQ14" s="107" t="s">
        <v>158</v>
      </c>
      <c r="BR14" s="107" t="s">
        <v>159</v>
      </c>
      <c r="BS14" s="107" t="s">
        <v>160</v>
      </c>
      <c r="BT14" s="107" t="s">
        <v>161</v>
      </c>
      <c r="BU14" s="189" t="s">
        <v>162</v>
      </c>
      <c r="BV14" s="189" t="s">
        <v>163</v>
      </c>
      <c r="BW14" s="189" t="s">
        <v>164</v>
      </c>
      <c r="BX14" s="189" t="s">
        <v>165</v>
      </c>
      <c r="BY14" s="191" t="s">
        <v>166</v>
      </c>
    </row>
    <row r="15" spans="1:88"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BU15" s="186"/>
      <c r="BV15" s="186"/>
      <c r="BW15" s="186"/>
      <c r="BX15" s="186"/>
      <c r="BY15" s="186"/>
    </row>
    <row r="16" spans="1:88">
      <c r="A16" s="96" t="s">
        <v>239</v>
      </c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BU16" s="186"/>
      <c r="BV16" s="186"/>
      <c r="BW16" s="186"/>
      <c r="BX16" s="186"/>
      <c r="BY16" s="186"/>
    </row>
    <row r="17" spans="1:88" s="74" customFormat="1">
      <c r="A17" s="74" t="s">
        <v>193</v>
      </c>
      <c r="C17" s="164">
        <v>0.08</v>
      </c>
      <c r="D17" s="164">
        <v>0.08</v>
      </c>
      <c r="E17" s="164">
        <v>0.08</v>
      </c>
      <c r="F17" s="164">
        <v>0.08</v>
      </c>
      <c r="G17" s="164">
        <v>0.09</v>
      </c>
      <c r="H17" s="164">
        <v>0.09</v>
      </c>
      <c r="I17" s="164">
        <v>0.09</v>
      </c>
      <c r="J17" s="164">
        <v>0.1</v>
      </c>
      <c r="K17" s="164">
        <v>0.1</v>
      </c>
      <c r="L17" s="164">
        <v>0.1</v>
      </c>
      <c r="M17" s="164">
        <v>0.1</v>
      </c>
      <c r="N17" s="164">
        <v>0.11</v>
      </c>
      <c r="O17" s="164">
        <v>0.11</v>
      </c>
      <c r="P17" s="164">
        <v>0.11</v>
      </c>
      <c r="Q17" s="164">
        <v>0.11</v>
      </c>
      <c r="R17" s="164">
        <v>0.13</v>
      </c>
      <c r="S17" s="164">
        <v>0.13</v>
      </c>
      <c r="T17" s="164">
        <v>0.13</v>
      </c>
      <c r="U17" s="164">
        <v>0.13</v>
      </c>
      <c r="V17" s="164">
        <v>0.13</v>
      </c>
      <c r="W17" s="164">
        <v>0.13</v>
      </c>
      <c r="X17" s="164">
        <v>0.13</v>
      </c>
      <c r="Y17" s="164">
        <v>0.13</v>
      </c>
      <c r="Z17" s="164">
        <v>0.16</v>
      </c>
      <c r="AA17" s="164">
        <v>0.16</v>
      </c>
      <c r="AB17" s="164">
        <v>0.16</v>
      </c>
      <c r="AC17" s="164">
        <v>0.16</v>
      </c>
      <c r="AD17" s="164">
        <v>0.2</v>
      </c>
      <c r="AE17" s="164">
        <v>0.2</v>
      </c>
      <c r="AF17" s="164">
        <v>0.2</v>
      </c>
      <c r="AG17" s="164">
        <v>0.2</v>
      </c>
      <c r="AH17" s="164">
        <v>0.23</v>
      </c>
      <c r="AI17" s="164">
        <v>0.23</v>
      </c>
      <c r="AJ17" s="164">
        <v>0.23</v>
      </c>
      <c r="AK17" s="164">
        <v>0.23</v>
      </c>
      <c r="AL17" s="164">
        <v>0.28000000000000003</v>
      </c>
      <c r="AM17" s="164">
        <v>0.28000000000000003</v>
      </c>
      <c r="AN17" s="164">
        <v>0.28000000000000003</v>
      </c>
      <c r="AO17" s="164">
        <v>0.28000000000000003</v>
      </c>
      <c r="AP17" s="164">
        <v>0.31</v>
      </c>
      <c r="AQ17" s="164">
        <v>0.31</v>
      </c>
      <c r="AR17" s="164">
        <v>0.31</v>
      </c>
      <c r="AS17" s="164">
        <v>0.31</v>
      </c>
      <c r="AT17" s="164">
        <v>0.36</v>
      </c>
      <c r="AU17" s="164">
        <v>0.36</v>
      </c>
      <c r="AV17" s="164">
        <v>0.36</v>
      </c>
      <c r="AW17" s="164">
        <v>0.36</v>
      </c>
      <c r="AX17" s="164">
        <v>0.39</v>
      </c>
      <c r="AY17" s="164">
        <v>0.39</v>
      </c>
      <c r="AZ17" s="164">
        <v>0.39</v>
      </c>
      <c r="BA17" s="164">
        <v>0.39</v>
      </c>
      <c r="BB17" s="164">
        <v>0.42</v>
      </c>
      <c r="BC17" s="164">
        <v>0.42</v>
      </c>
      <c r="BD17" s="164">
        <v>0.42</v>
      </c>
      <c r="BE17" s="164">
        <v>0.42</v>
      </c>
      <c r="BF17" s="164">
        <v>0.46</v>
      </c>
      <c r="BG17" s="164">
        <v>0.46</v>
      </c>
      <c r="BH17" s="164">
        <v>0.46</v>
      </c>
      <c r="BI17" s="164">
        <v>0.46</v>
      </c>
      <c r="BJ17" s="164">
        <v>0.51</v>
      </c>
      <c r="BK17" s="164">
        <v>0.51</v>
      </c>
      <c r="BL17" s="164">
        <v>0.51</v>
      </c>
      <c r="BM17" s="164">
        <v>0.51</v>
      </c>
      <c r="BN17" s="164">
        <v>0.56000000000000005</v>
      </c>
      <c r="BO17" s="164">
        <v>0.56000000000000005</v>
      </c>
      <c r="BP17" s="164">
        <v>0.56000000000000005</v>
      </c>
      <c r="BQ17" s="164">
        <v>0.56000000000000005</v>
      </c>
      <c r="BR17" s="164">
        <v>0.62</v>
      </c>
      <c r="BS17" s="164">
        <v>0.62</v>
      </c>
      <c r="BT17" s="164">
        <v>0.62</v>
      </c>
      <c r="BU17" s="164">
        <v>0.62</v>
      </c>
      <c r="BV17" s="164">
        <v>0.68</v>
      </c>
      <c r="BW17" s="164">
        <v>0.68</v>
      </c>
      <c r="BX17" s="164">
        <v>0.68</v>
      </c>
      <c r="BY17" s="164">
        <v>0.68</v>
      </c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  <c r="CJ17" s="128"/>
    </row>
    <row r="18" spans="1:88" s="131" customFormat="1">
      <c r="A18" s="56" t="s">
        <v>194</v>
      </c>
      <c r="C18" s="133">
        <v>0.86799999999999999</v>
      </c>
      <c r="D18" s="133">
        <v>0.86</v>
      </c>
      <c r="E18" s="133">
        <v>0.85699999999999998</v>
      </c>
      <c r="F18" s="133">
        <v>0.84599999999999997</v>
      </c>
      <c r="G18" s="133">
        <v>0.92600000000000005</v>
      </c>
      <c r="H18" s="133">
        <v>0.91600000000000004</v>
      </c>
      <c r="I18" s="133">
        <v>0.89700000000000002</v>
      </c>
      <c r="J18" s="133">
        <v>0.98</v>
      </c>
      <c r="K18" s="133">
        <v>0.97799999999999998</v>
      </c>
      <c r="L18" s="133">
        <v>0.95199999999999996</v>
      </c>
      <c r="M18" s="133">
        <v>0.93799999999999994</v>
      </c>
      <c r="N18" s="133">
        <v>1.034</v>
      </c>
      <c r="O18" s="133">
        <v>1.0229999999999999</v>
      </c>
      <c r="P18" s="133">
        <v>1.02</v>
      </c>
      <c r="Q18" s="133">
        <v>0.998</v>
      </c>
      <c r="R18" s="133">
        <v>1.157</v>
      </c>
      <c r="S18" s="133">
        <v>1.155</v>
      </c>
      <c r="T18" s="133">
        <v>1.1579999999999999</v>
      </c>
      <c r="U18" s="133">
        <v>1.157</v>
      </c>
      <c r="V18" s="133">
        <v>1.1519999999999999</v>
      </c>
      <c r="W18" s="133">
        <v>1.139</v>
      </c>
      <c r="X18" s="133">
        <v>1.1299999999999999</v>
      </c>
      <c r="Y18" s="133">
        <v>1.1180000000000001</v>
      </c>
      <c r="Z18" s="133">
        <v>1.363</v>
      </c>
      <c r="AA18" s="133">
        <v>1.349</v>
      </c>
      <c r="AB18" s="133">
        <v>1.35</v>
      </c>
      <c r="AC18" s="133">
        <v>1.341</v>
      </c>
      <c r="AD18" s="133">
        <v>1.6830000000000001</v>
      </c>
      <c r="AE18" s="133">
        <v>1.6830000000000001</v>
      </c>
      <c r="AF18" s="133">
        <v>1.6779999999999999</v>
      </c>
      <c r="AG18" s="133">
        <v>1.6759999999999999</v>
      </c>
      <c r="AH18" s="133">
        <v>1.9330000000000001</v>
      </c>
      <c r="AI18" s="133">
        <v>1.925</v>
      </c>
      <c r="AJ18" s="133">
        <v>1.921</v>
      </c>
      <c r="AK18" s="133">
        <v>1.9159999999999999</v>
      </c>
      <c r="AL18" s="133">
        <v>2.3319999999999999</v>
      </c>
      <c r="AM18" s="133">
        <v>2.3220000000000001</v>
      </c>
      <c r="AN18" s="133">
        <v>2.3090000000000002</v>
      </c>
      <c r="AO18" s="133">
        <v>2.3069999999999999</v>
      </c>
      <c r="AP18" s="133">
        <v>2.5470000000000002</v>
      </c>
      <c r="AQ18" s="133">
        <v>2.532</v>
      </c>
      <c r="AR18" s="133">
        <v>2.496</v>
      </c>
      <c r="AS18" s="133">
        <v>2.4750000000000001</v>
      </c>
      <c r="AT18" s="133">
        <v>2.8679999999999999</v>
      </c>
      <c r="AU18" s="133">
        <v>2.8420000000000001</v>
      </c>
      <c r="AV18" s="133">
        <v>2.8210000000000002</v>
      </c>
      <c r="AW18" s="133">
        <v>2.8</v>
      </c>
      <c r="AX18" s="133">
        <v>3.024</v>
      </c>
      <c r="AY18" s="133">
        <v>3.012</v>
      </c>
      <c r="AZ18" s="133">
        <v>3.0089999999999999</v>
      </c>
      <c r="BA18" s="133">
        <v>3.0030000000000001</v>
      </c>
      <c r="BB18" s="133">
        <v>3.238</v>
      </c>
      <c r="BC18" s="133">
        <v>3.2320000000000002</v>
      </c>
      <c r="BD18" s="133">
        <v>3.226</v>
      </c>
      <c r="BE18" s="133">
        <v>3.22</v>
      </c>
      <c r="BF18" s="133">
        <v>3.544</v>
      </c>
      <c r="BG18" s="133">
        <v>3.5259999999999998</v>
      </c>
      <c r="BH18" s="133">
        <v>3.5209999999999999</v>
      </c>
      <c r="BI18" s="133">
        <v>3.51</v>
      </c>
      <c r="BJ18" s="133">
        <v>3.8860000000000001</v>
      </c>
      <c r="BK18" s="133">
        <v>3.8759999999999999</v>
      </c>
      <c r="BL18" s="133">
        <v>3.8650000000000002</v>
      </c>
      <c r="BM18" s="133">
        <v>3.8559999999999999</v>
      </c>
      <c r="BN18" s="133">
        <v>4.2300000000000004</v>
      </c>
      <c r="BO18" s="133">
        <v>4.2210000000000001</v>
      </c>
      <c r="BP18" s="133">
        <v>4.2140000000000004</v>
      </c>
      <c r="BQ18" s="133">
        <v>4.2060000000000004</v>
      </c>
      <c r="BR18" s="133">
        <v>4.6520000000000001</v>
      </c>
      <c r="BS18" s="133">
        <v>4.6449999999999996</v>
      </c>
      <c r="BT18" s="133">
        <v>4.6319999999999997</v>
      </c>
      <c r="BU18" s="133">
        <v>4.6210000000000004</v>
      </c>
      <c r="BV18" s="133">
        <v>5.0659999999999998</v>
      </c>
      <c r="BW18" s="133">
        <v>5.0590000000000002</v>
      </c>
      <c r="BX18" s="133">
        <v>5.0540000000000003</v>
      </c>
      <c r="BY18" s="133">
        <v>5.0540000000000003</v>
      </c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</row>
    <row r="19" spans="1:88" s="129" customFormat="1">
      <c r="A19" s="129" t="s">
        <v>195</v>
      </c>
      <c r="C19" s="133">
        <v>0.65500000000000003</v>
      </c>
      <c r="D19" s="133">
        <v>2.42</v>
      </c>
      <c r="E19" s="133">
        <v>4.3019999999999996</v>
      </c>
      <c r="F19" s="133">
        <v>3.0289999999999999</v>
      </c>
      <c r="G19" s="133">
        <v>7.6660000000000004</v>
      </c>
      <c r="H19" s="133">
        <v>4.8789999999999996</v>
      </c>
      <c r="I19" s="133">
        <v>4.1749999999999998</v>
      </c>
      <c r="J19" s="133">
        <v>6.9649999999999999</v>
      </c>
      <c r="K19" s="133">
        <v>6.0369999999999999</v>
      </c>
      <c r="L19" s="133">
        <v>6.7439999999999998</v>
      </c>
      <c r="M19" s="133">
        <v>7.367</v>
      </c>
      <c r="N19" s="133">
        <v>2.3479999999999999</v>
      </c>
      <c r="O19" s="133">
        <v>4.0810000000000004</v>
      </c>
      <c r="P19" s="133">
        <v>1.02</v>
      </c>
      <c r="Q19" s="133">
        <v>4.9749999999999996</v>
      </c>
      <c r="R19" s="133">
        <v>5.9660000000000002</v>
      </c>
      <c r="S19" s="133">
        <v>2.234</v>
      </c>
      <c r="T19" s="133">
        <v>0</v>
      </c>
      <c r="U19" s="133">
        <v>0</v>
      </c>
      <c r="V19" s="133">
        <v>1.4450000000000001</v>
      </c>
      <c r="W19" s="133">
        <v>3.5830000000000002</v>
      </c>
      <c r="X19" s="133">
        <v>2</v>
      </c>
      <c r="Y19" s="133">
        <v>3.8079999999999998</v>
      </c>
      <c r="Z19" s="133">
        <v>4</v>
      </c>
      <c r="AA19" s="133">
        <v>5</v>
      </c>
      <c r="AB19" s="133">
        <v>0.82699999999999996</v>
      </c>
      <c r="AC19" s="133">
        <v>1.631</v>
      </c>
      <c r="AD19" s="133">
        <v>1</v>
      </c>
      <c r="AE19" s="133">
        <v>1</v>
      </c>
      <c r="AF19" s="133">
        <v>1</v>
      </c>
      <c r="AG19" s="133">
        <v>1</v>
      </c>
      <c r="AH19" s="133">
        <v>1</v>
      </c>
      <c r="AI19" s="133">
        <v>1.607</v>
      </c>
      <c r="AJ19" s="133">
        <v>1</v>
      </c>
      <c r="AK19" s="133">
        <v>1</v>
      </c>
      <c r="AL19" s="133">
        <v>1.5</v>
      </c>
      <c r="AM19" s="133">
        <v>2</v>
      </c>
      <c r="AN19" s="133">
        <v>1.7909999999999999</v>
      </c>
      <c r="AO19" s="133">
        <v>1.1180000000000001</v>
      </c>
      <c r="AP19" s="133">
        <v>2</v>
      </c>
      <c r="AQ19" s="133">
        <v>2</v>
      </c>
      <c r="AR19" s="133">
        <v>5</v>
      </c>
      <c r="AS19" s="133">
        <v>4.2089999999999996</v>
      </c>
      <c r="AT19" s="133">
        <v>4</v>
      </c>
      <c r="AU19" s="133">
        <v>3.6</v>
      </c>
      <c r="AV19" s="133">
        <v>3.6</v>
      </c>
      <c r="AW19" s="133">
        <v>3.6</v>
      </c>
      <c r="AX19" s="133">
        <v>3.55</v>
      </c>
      <c r="AY19" s="133">
        <v>3.5329999999999999</v>
      </c>
      <c r="AZ19" s="133">
        <v>1.6</v>
      </c>
      <c r="BA19" s="133">
        <v>1.6</v>
      </c>
      <c r="BB19" s="133">
        <v>1.6</v>
      </c>
      <c r="BC19" s="133">
        <v>1.8</v>
      </c>
      <c r="BD19" s="133">
        <v>3.1</v>
      </c>
      <c r="BE19" s="133">
        <v>2.1</v>
      </c>
      <c r="BF19" s="133">
        <v>2.6</v>
      </c>
      <c r="BG19" s="133">
        <v>6.1</v>
      </c>
      <c r="BH19" s="133">
        <v>3.899</v>
      </c>
      <c r="BI19" s="133">
        <v>4.2</v>
      </c>
      <c r="BJ19" s="133">
        <v>4</v>
      </c>
      <c r="BK19" s="133">
        <v>4.5999999999999996</v>
      </c>
      <c r="BL19" s="133">
        <v>6</v>
      </c>
      <c r="BM19" s="133">
        <v>5.0880000000000001</v>
      </c>
      <c r="BN19" s="133">
        <v>5.27</v>
      </c>
      <c r="BO19" s="133">
        <v>5.75</v>
      </c>
      <c r="BP19" s="133">
        <v>5.75</v>
      </c>
      <c r="BQ19" s="133">
        <v>6.2</v>
      </c>
      <c r="BR19" s="133">
        <v>6.2</v>
      </c>
      <c r="BS19" s="133">
        <v>6.2329999999999997</v>
      </c>
      <c r="BT19" s="133">
        <v>7.8</v>
      </c>
      <c r="BU19" s="133">
        <v>7.8</v>
      </c>
      <c r="BV19" s="133">
        <v>4.5999999999999996</v>
      </c>
      <c r="BW19" s="133">
        <v>4.5999999999999996</v>
      </c>
      <c r="BX19" s="133">
        <v>4.5999999999999996</v>
      </c>
      <c r="BY19" s="133">
        <v>4.5999999999999996</v>
      </c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workbookViewId="0"/>
  </sheetViews>
  <sheetFormatPr defaultColWidth="9" defaultRowHeight="14.4"/>
  <cols>
    <col min="1" max="1" width="34.44140625" style="167" customWidth="1"/>
    <col min="2" max="2" width="10.44140625" style="167" customWidth="1"/>
    <col min="3" max="3" width="9" style="167"/>
    <col min="4" max="4" width="10" style="167" customWidth="1"/>
    <col min="5" max="5" width="10.33203125" style="167" customWidth="1"/>
    <col min="6" max="6" width="11" style="167" customWidth="1"/>
    <col min="7" max="9" width="9" style="167"/>
    <col min="10" max="10" width="10" style="167" customWidth="1"/>
    <col min="11" max="11" width="11" style="167" customWidth="1"/>
    <col min="12" max="12" width="11.88671875" style="167" customWidth="1"/>
    <col min="13" max="15" width="9" style="167"/>
    <col min="16" max="16" width="10" style="167" customWidth="1"/>
    <col min="17" max="17" width="11" style="167" customWidth="1"/>
    <col min="18" max="18" width="11.88671875" style="167" customWidth="1"/>
    <col min="19" max="21" width="9" style="167"/>
    <col min="22" max="22" width="10" style="167" customWidth="1"/>
    <col min="23" max="23" width="11" style="167" customWidth="1"/>
    <col min="24" max="24" width="11.88671875" style="167" customWidth="1"/>
    <col min="25" max="25" width="9" style="167" customWidth="1"/>
    <col min="26" max="27" width="9" style="167"/>
    <col min="28" max="28" width="10" style="167" customWidth="1"/>
    <col min="29" max="29" width="11" style="167" customWidth="1"/>
    <col min="30" max="30" width="11.88671875" style="167" customWidth="1"/>
    <col min="31" max="33" width="9" style="167"/>
    <col min="34" max="34" width="10" style="167" customWidth="1"/>
    <col min="35" max="35" width="11" style="167" customWidth="1"/>
    <col min="36" max="36" width="11.88671875" style="167" customWidth="1"/>
    <col min="37" max="39" width="9" style="167"/>
    <col min="40" max="40" width="10" style="167" customWidth="1"/>
    <col min="41" max="41" width="11" style="167" customWidth="1"/>
    <col min="42" max="42" width="11.88671875" style="167" customWidth="1"/>
    <col min="43" max="45" width="9" style="167"/>
    <col min="46" max="46" width="10" style="167" customWidth="1"/>
    <col min="47" max="47" width="11" style="167" customWidth="1"/>
    <col min="48" max="48" width="11.88671875" style="167" customWidth="1"/>
    <col min="49" max="16384" width="9" style="167"/>
  </cols>
  <sheetData>
    <row r="1" spans="1:48" ht="15">
      <c r="A1" s="77" t="s">
        <v>240</v>
      </c>
      <c r="B1" s="76" t="s">
        <v>17</v>
      </c>
      <c r="AP1" s="190"/>
      <c r="AV1" s="190"/>
    </row>
    <row r="2" spans="1:48" ht="15">
      <c r="A2" s="77" t="s">
        <v>241</v>
      </c>
      <c r="AP2" s="190"/>
      <c r="AV2" s="190"/>
    </row>
    <row r="3" spans="1:48" ht="15">
      <c r="A3" s="78" t="s">
        <v>242</v>
      </c>
      <c r="AP3" s="190"/>
      <c r="AV3" s="190"/>
    </row>
    <row r="4" spans="1:48">
      <c r="AP4" s="190"/>
      <c r="AV4" s="190"/>
    </row>
    <row r="5" spans="1:48" ht="30">
      <c r="B5" s="168" t="s">
        <v>135</v>
      </c>
      <c r="C5" s="168" t="s">
        <v>136</v>
      </c>
      <c r="D5" s="168" t="s">
        <v>137</v>
      </c>
      <c r="E5" s="168" t="s">
        <v>138</v>
      </c>
      <c r="F5" s="168" t="s">
        <v>243</v>
      </c>
      <c r="H5" s="168" t="s">
        <v>139</v>
      </c>
      <c r="I5" s="168" t="s">
        <v>140</v>
      </c>
      <c r="J5" s="168" t="s">
        <v>141</v>
      </c>
      <c r="K5" s="168" t="s">
        <v>142</v>
      </c>
      <c r="L5" s="168" t="s">
        <v>244</v>
      </c>
      <c r="N5" s="168" t="s">
        <v>143</v>
      </c>
      <c r="O5" s="168" t="s">
        <v>144</v>
      </c>
      <c r="P5" s="168" t="s">
        <v>145</v>
      </c>
      <c r="Q5" s="168" t="s">
        <v>146</v>
      </c>
      <c r="R5" s="168" t="s">
        <v>245</v>
      </c>
      <c r="T5" s="168" t="s">
        <v>147</v>
      </c>
      <c r="U5" s="168" t="s">
        <v>148</v>
      </c>
      <c r="V5" s="168" t="s">
        <v>149</v>
      </c>
      <c r="W5" s="168" t="s">
        <v>150</v>
      </c>
      <c r="X5" s="168" t="s">
        <v>246</v>
      </c>
      <c r="Z5" s="168" t="s">
        <v>151</v>
      </c>
      <c r="AA5" s="168" t="s">
        <v>152</v>
      </c>
      <c r="AB5" s="168" t="s">
        <v>153</v>
      </c>
      <c r="AC5" s="168" t="s">
        <v>154</v>
      </c>
      <c r="AD5" s="168" t="s">
        <v>247</v>
      </c>
      <c r="AF5" s="168" t="s">
        <v>155</v>
      </c>
      <c r="AG5" s="168" t="s">
        <v>156</v>
      </c>
      <c r="AH5" s="168" t="s">
        <v>157</v>
      </c>
      <c r="AI5" s="168" t="s">
        <v>158</v>
      </c>
      <c r="AJ5" s="168" t="s">
        <v>248</v>
      </c>
      <c r="AL5" s="168" t="s">
        <v>159</v>
      </c>
      <c r="AM5" s="168" t="s">
        <v>160</v>
      </c>
      <c r="AN5" s="168" t="s">
        <v>161</v>
      </c>
      <c r="AO5" s="168" t="s">
        <v>162</v>
      </c>
      <c r="AP5" s="168" t="s">
        <v>172</v>
      </c>
      <c r="AR5" s="168" t="s">
        <v>163</v>
      </c>
      <c r="AS5" s="168" t="s">
        <v>164</v>
      </c>
      <c r="AT5" s="168" t="s">
        <v>165</v>
      </c>
      <c r="AU5" s="168" t="s">
        <v>166</v>
      </c>
      <c r="AV5" s="168" t="s">
        <v>173</v>
      </c>
    </row>
    <row r="6" spans="1:48" ht="30">
      <c r="A6" s="169" t="s">
        <v>249</v>
      </c>
      <c r="B6" s="170">
        <v>1.5</v>
      </c>
      <c r="C6" s="170">
        <v>2</v>
      </c>
      <c r="D6" s="170">
        <v>2.2999999999999998</v>
      </c>
      <c r="E6" s="170">
        <v>3.1</v>
      </c>
      <c r="F6" s="170">
        <v>8.9</v>
      </c>
      <c r="G6" s="170"/>
      <c r="H6" s="170">
        <v>2.2999999999999998</v>
      </c>
      <c r="I6" s="170">
        <v>2.5</v>
      </c>
      <c r="J6" s="170">
        <v>2.1</v>
      </c>
      <c r="K6" s="170">
        <v>3.3</v>
      </c>
      <c r="L6" s="170">
        <v>10.199999999999999</v>
      </c>
      <c r="N6" s="170">
        <v>2.7</v>
      </c>
      <c r="O6" s="170">
        <v>3.3</v>
      </c>
      <c r="P6" s="170">
        <v>3.5</v>
      </c>
      <c r="Q6" s="170">
        <v>4.0999999999999996</v>
      </c>
      <c r="R6" s="170">
        <v>13.6</v>
      </c>
      <c r="T6" s="170">
        <v>4.3</v>
      </c>
      <c r="U6" s="170">
        <v>3.9</v>
      </c>
      <c r="V6" s="170">
        <v>3.4</v>
      </c>
      <c r="W6" s="170">
        <v>5.3</v>
      </c>
      <c r="X6" s="170">
        <v>16.899999999999999</v>
      </c>
      <c r="Z6" s="170">
        <v>4.8</v>
      </c>
      <c r="AA6" s="170">
        <v>4.5</v>
      </c>
      <c r="AB6" s="170">
        <v>3.9</v>
      </c>
      <c r="AC6" s="170">
        <v>5.8</v>
      </c>
      <c r="AD6" s="170">
        <v>19</v>
      </c>
      <c r="AF6" s="170">
        <v>5.5</v>
      </c>
      <c r="AG6" s="170">
        <v>5.4</v>
      </c>
      <c r="AH6" s="170">
        <v>6</v>
      </c>
      <c r="AI6" s="170">
        <v>7.3</v>
      </c>
      <c r="AJ6" s="170">
        <v>24.2</v>
      </c>
      <c r="AL6" s="170">
        <v>7.4</v>
      </c>
      <c r="AM6" s="170">
        <v>6.8</v>
      </c>
      <c r="AN6" s="170">
        <v>6.3</v>
      </c>
      <c r="AO6" s="170">
        <v>8.6999999999999993</v>
      </c>
      <c r="AP6" s="170">
        <v>29.2</v>
      </c>
      <c r="AR6" s="170">
        <v>6.6</v>
      </c>
      <c r="AS6" s="170">
        <v>6.8</v>
      </c>
      <c r="AT6" s="170">
        <v>7.8</v>
      </c>
      <c r="AU6" s="170">
        <v>10.7</v>
      </c>
      <c r="AV6" s="170">
        <v>31.9</v>
      </c>
    </row>
    <row r="8" spans="1:48" ht="15">
      <c r="A8" s="77"/>
      <c r="B8" s="171"/>
    </row>
    <row r="9" spans="1:48" ht="15">
      <c r="A9" s="77"/>
      <c r="B9" s="171"/>
    </row>
    <row r="10" spans="1:48" ht="15">
      <c r="A10" s="77"/>
    </row>
    <row r="11" spans="1:48" ht="15">
      <c r="A11" s="77"/>
    </row>
    <row r="13" spans="1:48" ht="15">
      <c r="A13" s="77"/>
    </row>
    <row r="14" spans="1:48" ht="15">
      <c r="A14" s="77"/>
    </row>
    <row r="15" spans="1:48" ht="15">
      <c r="A15" s="77"/>
    </row>
    <row r="16" spans="1:48" ht="15">
      <c r="A16" s="77"/>
    </row>
    <row r="17" spans="1:1" ht="15">
      <c r="A17" s="77"/>
    </row>
  </sheetData>
  <phoneticPr fontId="49" type="noConversion"/>
  <hyperlinks>
    <hyperlink ref="B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20</vt:i4>
      </vt:variant>
    </vt:vector>
  </HeadingPairs>
  <TitlesOfParts>
    <vt:vector size="33" baseType="lpstr">
      <vt:lpstr>ComparativeBalance Sheets</vt:lpstr>
      <vt:lpstr>Common size </vt:lpstr>
      <vt:lpstr>Splash</vt:lpstr>
      <vt:lpstr>Income Statements</vt:lpstr>
      <vt:lpstr>Comprehensive Income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'Cash Flows'!Print_Area</vt:lpstr>
      <vt:lpstr>'ComparativeBalance Sheets'!Print_Area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2025-04-23T12:42:13Z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